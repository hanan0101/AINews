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AINewsletter_v0.2\outputs\gemini_cost_model_20260721\"/>
    </mc:Choice>
  </mc:AlternateContent>
  <xr:revisionPtr revIDLastSave="0" documentId="13_ncr:1_{E0E742BD-70A4-463D-8072-BD58D6B807D7}" xr6:coauthVersionLast="47" xr6:coauthVersionMax="47" xr10:uidLastSave="{00000000-0000-0000-0000-000000000000}"/>
  <bookViews>
    <workbookView xWindow="0" yWindow="0" windowWidth="10890" windowHeight="9720" xr2:uid="{00000000-000D-0000-FFFF-FFFF00000000}"/>
  </bookViews>
  <sheets>
    <sheet name="Cost Calculator" sheetId="1" r:id="rId1"/>
    <sheet name="Run Evidence" sheetId="3" r:id="rId2"/>
    <sheet name="Definitions" sheetId="2" r:id="rId3"/>
  </sheets>
  <definedNames>
    <definedName name="_xlnm.Print_Area" localSheetId="0">'Cost Calculator'!$B$1:$K$42</definedName>
    <definedName name="_xlnm.Print_Area" localSheetId="2">Definitions!$B$1:$E$18</definedName>
    <definedName name="_xlnm.Print_Area" localSheetId="1">'Run Evidence'!$B$1:$I$27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 l="1"/>
  <c r="G10" i="3"/>
  <c r="F10" i="3"/>
  <c r="E10" i="3"/>
  <c r="D10" i="3"/>
  <c r="C10" i="3"/>
  <c r="G17" i="1"/>
  <c r="F17" i="1"/>
  <c r="E17" i="1"/>
  <c r="D17" i="1"/>
  <c r="H15" i="1"/>
  <c r="K15" i="1" s="1"/>
  <c r="H16" i="1"/>
  <c r="K16" i="1" s="1"/>
  <c r="H14" i="1"/>
  <c r="E8" i="1"/>
  <c r="E9" i="1"/>
  <c r="E7" i="1"/>
  <c r="H17" i="1" l="1"/>
  <c r="K14" i="1"/>
  <c r="K17" i="1" s="1"/>
  <c r="G8" i="1"/>
  <c r="H25" i="1" s="1"/>
  <c r="F8" i="1"/>
  <c r="G25" i="1" s="1"/>
  <c r="F25" i="1"/>
  <c r="F26" i="1"/>
  <c r="F9" i="1"/>
  <c r="G26" i="1" s="1"/>
  <c r="G9" i="1"/>
  <c r="H26" i="1" s="1"/>
  <c r="F7" i="1"/>
  <c r="F24" i="1"/>
  <c r="E10" i="1"/>
  <c r="G7" i="1"/>
  <c r="C25" i="1" l="1"/>
  <c r="C27" i="1"/>
  <c r="C29" i="1"/>
  <c r="I24" i="1"/>
  <c r="I25" i="1"/>
  <c r="J26" i="1"/>
  <c r="K24" i="1"/>
  <c r="N24" i="1" s="1"/>
  <c r="K25" i="1"/>
  <c r="N25" i="1" s="1"/>
  <c r="C24" i="1"/>
  <c r="C28" i="1"/>
  <c r="C30" i="1"/>
  <c r="I26" i="1"/>
  <c r="J25" i="1"/>
  <c r="K26" i="1"/>
  <c r="N26" i="1" s="1"/>
  <c r="F10" i="1"/>
  <c r="C26" i="1" s="1"/>
  <c r="G24" i="1"/>
  <c r="J24" i="1" s="1"/>
  <c r="G10" i="1"/>
  <c r="H24" i="1"/>
</calcChain>
</file>

<file path=xl/sharedStrings.xml><?xml version="1.0" encoding="utf-8"?>
<sst xmlns="http://schemas.openxmlformats.org/spreadsheetml/2006/main" count="177" uniqueCount="129">
  <si>
    <t>Attribute</t>
  </si>
  <si>
    <t>Notes</t>
  </si>
  <si>
    <t>Calls</t>
  </si>
  <si>
    <t>Tokens</t>
  </si>
  <si>
    <t>Cost Metric</t>
  </si>
  <si>
    <t>Group</t>
  </si>
  <si>
    <t>AI Newsletter - Gemini Cost Calculation</t>
  </si>
  <si>
    <t>Gemini only | Production: one admin weekly | Developer tests | Failed admin attempts</t>
  </si>
  <si>
    <t>1. WEEKLY USAGE ASSUMPTIONS - EDIT YELLOW CELLS</t>
  </si>
  <si>
    <t>Scenario / Actor</t>
  </si>
  <si>
    <t>Runs per Week</t>
  </si>
  <si>
    <t>Full-Run Equivalent</t>
  </si>
  <si>
    <t>Equivalent Runs / Week</t>
  </si>
  <si>
    <t>Equivalent Runs / Month</t>
  </si>
  <si>
    <t>Equivalent Runs / Year</t>
  </si>
  <si>
    <t>Admin weekly generation</t>
  </si>
  <si>
    <t>Developer testing</t>
  </si>
  <si>
    <t>Admin failed attempts</t>
  </si>
  <si>
    <t>One full Generate run each week by the admin</t>
  </si>
  <si>
    <t>Two focused tests; each assumed at 25% of a full run</t>
  </si>
  <si>
    <t>One failed/retried admin attempt; assumed to consume 50% of a full run</t>
  </si>
  <si>
    <t>Total equivalent usage</t>
  </si>
  <si>
    <t>2. GEMINI MODEL USAGE PER FULL SUCCESSFUL RUN</t>
  </si>
  <si>
    <t>Role</t>
  </si>
  <si>
    <t>Gemini Model</t>
  </si>
  <si>
    <t>Calls / Run</t>
  </si>
  <si>
    <t>Input Tokens / Run</t>
  </si>
  <si>
    <t>Visible Output Tokens</t>
  </si>
  <si>
    <t>Thinking Tokens</t>
  </si>
  <si>
    <t>Billed Output Tokens</t>
  </si>
  <si>
    <t>Input $ / 1M</t>
  </si>
  <si>
    <t>Output $ / 1M</t>
  </si>
  <si>
    <t>Cost / Full Run</t>
  </si>
  <si>
    <t>Selection + supporting</t>
  </si>
  <si>
    <t>gemini-flash-latest</t>
  </si>
  <si>
    <t>Arabic rewrite</t>
  </si>
  <si>
    <t>gemini-3.1-pro-preview</t>
  </si>
  <si>
    <t>Semantic memory</t>
  </si>
  <si>
    <t>gemini-embedding-001</t>
  </si>
  <si>
    <t>Total per full-equivalent run</t>
  </si>
  <si>
    <t>Usage buffer</t>
  </si>
  <si>
    <t>Daily request tracker</t>
  </si>
  <si>
    <t>Paid Standard rates. Flash alias is costed as Gemini 3 Flash Preview; update the yellow price cells if the alias changes.</t>
  </si>
  <si>
    <t>3. COST SUMMARY</t>
  </si>
  <si>
    <t>Calculated Cost</t>
  </si>
  <si>
    <t>Cost per full-equivalent run</t>
  </si>
  <si>
    <t>Weekly cost incl. buffer</t>
  </si>
  <si>
    <t>Monthly recurring cost incl. buffer</t>
  </si>
  <si>
    <t>Annual recurring cost incl. buffer</t>
  </si>
  <si>
    <t>Admin weekly generation - annual</t>
  </si>
  <si>
    <t>Developer testing - annual</t>
  </si>
  <si>
    <t>Admin failed attempts - annual</t>
  </si>
  <si>
    <t>Scenario</t>
  </si>
  <si>
    <t>Weekly Eq.</t>
  </si>
  <si>
    <t>Monthly Eq.</t>
  </si>
  <si>
    <t>Annual Eq.</t>
  </si>
  <si>
    <t>Weekly Cost</t>
  </si>
  <si>
    <t>Monthly Cost</t>
  </si>
  <si>
    <t>Annual Cost</t>
  </si>
  <si>
    <t>Scope: Gemini API costs only. Excludes Exa, SearXNG hosting, Docker/servers, databases, storage, networking, and developer labor. End users reading the newsletter do not trigger Gemini; only admin generation, developer tests, and failed admin attempts are modeled.</t>
  </si>
  <si>
    <t>Measured Gemini Usage - Baseline Run</t>
  </si>
  <si>
    <t>Source run: full-20260720T112453Z-fe7ccc2e | Successful full pipeline | 18 selected news items</t>
  </si>
  <si>
    <t>ACTUAL TOKEN USAGE FROM MODEL.TOKEN_USAGE EVENTS</t>
  </si>
  <si>
    <t>Model</t>
  </si>
  <si>
    <t>Input Tokens</t>
  </si>
  <si>
    <t>Visible Output</t>
  </si>
  <si>
    <t>Billed Output</t>
  </si>
  <si>
    <t>Total Tokens</t>
  </si>
  <si>
    <t>Selection, top-ups, courses and movies</t>
  </si>
  <si>
    <t>Arabic rewrite calls</t>
  </si>
  <si>
    <t>Estimated token volume; 7 calls inferred from 16 total requests minus 9 generation calls</t>
  </si>
  <si>
    <t>Total</t>
  </si>
  <si>
    <t>STAGE DETAIL</t>
  </si>
  <si>
    <t>Stage</t>
  </si>
  <si>
    <t>Input</t>
  </si>
  <si>
    <t>Thinking</t>
  </si>
  <si>
    <t>Candidates</t>
  </si>
  <si>
    <t>Status</t>
  </si>
  <si>
    <t>primary</t>
  </si>
  <si>
    <t>Success</t>
  </si>
  <si>
    <t>primary_rewrite</t>
  </si>
  <si>
    <t>topup_1</t>
  </si>
  <si>
    <t>topup_1_rewrite</t>
  </si>
  <si>
    <t>topup_2</t>
  </si>
  <si>
    <t>topup_2_rewrite</t>
  </si>
  <si>
    <t>supporting_movie</t>
  </si>
  <si>
    <t>supporting_course</t>
  </si>
  <si>
    <t>Why thinking is included: Gemini prices model output including thinking tokens. The visible response alone materially understates cost in this workload. Embedding tokens are estimated because the SDK usage state records embedded item count rather than token count.</t>
  </si>
  <si>
    <t>Definitions, Assumptions &amp; Sources</t>
  </si>
  <si>
    <t>MODEL SCOPE</t>
  </si>
  <si>
    <t>Definition / Assumption</t>
  </si>
  <si>
    <t>Source</t>
  </si>
  <si>
    <t>Scope</t>
  </si>
  <si>
    <t>Provider</t>
  </si>
  <si>
    <t>Gemini only. OpenAI is excluded from every calculation.</t>
  </si>
  <si>
    <t>Project configuration</t>
  </si>
  <si>
    <t>Usage</t>
  </si>
  <si>
    <t>One successful full Generate run per week by one admin.</t>
  </si>
  <si>
    <t>User requirement</t>
  </si>
  <si>
    <t>Two tests per week, each modeled as 25% of a full run. Editable.</t>
  </si>
  <si>
    <t>Planning assumption</t>
  </si>
  <si>
    <t>One failed/retried attempt per week, modeled as 50% of a full run. Editable.</t>
  </si>
  <si>
    <t>End users</t>
  </si>
  <si>
    <t>Newsletter readers do not invoke Gemini and therefore add no model cost.</t>
  </si>
  <si>
    <t>System authorization flow</t>
  </si>
  <si>
    <t>Pricing</t>
  </si>
  <si>
    <t>Gemini Flash alias</t>
  </si>
  <si>
    <t>Priced as Gemini 3 Flash Preview: $0.50 input and $3.00 output per 1M tokens.</t>
  </si>
  <si>
    <t>https://ai.google.dev/gemini-api/docs/gemini-3</t>
  </si>
  <si>
    <t>Gemini 3.1 Pro Preview</t>
  </si>
  <si>
    <t>$2.00 input and $12.00 output per 1M tokens below 200k input tokens.</t>
  </si>
  <si>
    <t>Gemini Embedding 001</t>
  </si>
  <si>
    <t>$0.15 per 1M input tokens under Standard paid pricing.</t>
  </si>
  <si>
    <t>https://ai.google.dev/gemini-api/docs/pricing</t>
  </si>
  <si>
    <t>Billed output</t>
  </si>
  <si>
    <t>Visible output tokens plus thinking tokens.</t>
  </si>
  <si>
    <t>Baseline</t>
  </si>
  <si>
    <t>Measured run</t>
  </si>
  <si>
    <t>Actual token usage from successful run full-20260720T112453Z-fe7ccc2e.</t>
  </si>
  <si>
    <t>Local RUNLOG model.token_usage events</t>
  </si>
  <si>
    <t>Embedding volume</t>
  </si>
  <si>
    <t>25,000 tokens per full run estimated from semantic checks and saves; editable.</t>
  </si>
  <si>
    <t>Project semantic memory flow</t>
  </si>
  <si>
    <t>Risk</t>
  </si>
  <si>
    <t>20% allowance for retries, variance and larger runs. Editable.</t>
  </si>
  <si>
    <t>Exclusions</t>
  </si>
  <si>
    <t>Non-Gemini costs</t>
  </si>
  <si>
    <t>Exa, infrastructure, databases, storage, network and labor are excluded.</t>
  </si>
  <si>
    <t>Workbook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</si>
</sst>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1">
    <font>
      <sz val="11"/>
      <name val="Carlito"/>
    </font>
    <font>
      <sz val="10"/>
      <name val="Aptos"/>
      <family val="2"/>
    </font>
    <font>
      <b/>
      <sz val="10"/>
      <color rgb="FFFFFFFF"/>
      <name val="Aptos"/>
      <family val="2"/>
    </font>
    <font>
      <b/>
      <sz val="18"/>
      <color rgb="FFFFFFFF"/>
      <name val="Aptos"/>
      <family val="2"/>
    </font>
    <font>
      <i/>
      <sz val="10"/>
      <name val="Aptos"/>
      <family val="2"/>
    </font>
    <font>
      <i/>
      <sz val="10"/>
      <color rgb="FF2D2D2D"/>
      <name val="Aptos"/>
      <family val="2"/>
    </font>
    <font>
      <b/>
      <sz val="11"/>
      <color rgb="FFFFFFFF"/>
      <name val="Aptos"/>
      <family val="2"/>
    </font>
    <font>
      <b/>
      <sz val="10"/>
      <color rgb="FF2D2D2D"/>
      <name val="Aptos"/>
      <family val="2"/>
    </font>
    <font>
      <b/>
      <sz val="10"/>
      <name val="Aptos"/>
      <family val="2"/>
    </font>
    <font>
      <sz val="10"/>
      <color rgb="FF2573A9"/>
      <name val="Aptos"/>
      <family val="2"/>
    </font>
    <font>
      <sz val="10"/>
      <color rgb="FF28624F"/>
      <name val="Aptos"/>
      <family val="2"/>
    </font>
  </fonts>
  <fills count="9">
    <fill>
      <patternFill patternType="none"/>
    </fill>
    <fill>
      <patternFill patternType="gray125"/>
    </fill>
    <fill>
      <patternFill patternType="solid">
        <fgColor rgb="FF163F6B"/>
        <bgColor indexed="64"/>
      </patternFill>
    </fill>
    <fill>
      <patternFill patternType="solid">
        <fgColor rgb="FF2573A9"/>
        <bgColor indexed="64"/>
      </patternFill>
    </fill>
    <fill>
      <patternFill patternType="solid">
        <fgColor rgb="FFCBDCEE"/>
        <bgColor indexed="64"/>
      </patternFill>
    </fill>
    <fill>
      <patternFill patternType="solid">
        <fgColor rgb="FFDCF0E9"/>
        <bgColor indexed="64"/>
      </patternFill>
    </fill>
    <fill>
      <patternFill patternType="solid">
        <fgColor rgb="FFFFF2D9"/>
        <bgColor indexed="64"/>
      </patternFill>
    </fill>
    <fill>
      <patternFill patternType="solid">
        <fgColor rgb="FF206B8B"/>
        <bgColor indexed="64"/>
      </patternFill>
    </fill>
    <fill>
      <patternFill patternType="solid">
        <fgColor rgb="FFF2F2F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6">
    <xf numFmtId="0" fontId="0" fillId="0" borderId="0" xfId="0"/>
    <xf numFmtId="0" fontId="1" fillId="0" borderId="0" xfId="0" applyFont="1"/>
    <xf numFmtId="0" fontId="7" fillId="4" borderId="1" xfId="0" applyFont="1" applyFill="1" applyBorder="1" applyAlignment="1">
      <alignment horizontal="center" vertical="center" wrapText="1"/>
    </xf>
    <xf numFmtId="0" fontId="1" fillId="0" borderId="0" xfId="0" applyFont="1" applyAlignment="1">
      <alignment wrapText="1"/>
    </xf>
    <xf numFmtId="165" fontId="1" fillId="0" borderId="0" xfId="0" applyNumberFormat="1" applyFont="1"/>
    <xf numFmtId="0" fontId="1" fillId="8" borderId="0" xfId="0" applyFont="1" applyFill="1" applyAlignment="1">
      <alignment wrapText="1"/>
    </xf>
    <xf numFmtId="0" fontId="1" fillId="0" borderId="0" xfId="0" applyFont="1" applyAlignment="1">
      <alignment vertical="center" wrapText="1"/>
    </xf>
    <xf numFmtId="0" fontId="3" fillId="2" borderId="0" xfId="0" applyFont="1" applyFill="1" applyAlignment="1">
      <alignment horizontal="center"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6" fillId="3" borderId="0" xfId="0" applyFont="1" applyFill="1" applyAlignment="1">
      <alignment horizontal="left" vertical="center" wrapText="1"/>
    </xf>
    <xf numFmtId="0" fontId="1" fillId="0" borderId="1" xfId="0" applyFont="1" applyBorder="1" applyAlignment="1">
      <alignment horizontal="left" vertical="center" wrapText="1"/>
    </xf>
    <xf numFmtId="0" fontId="8" fillId="5" borderId="1" xfId="0" applyFont="1" applyFill="1" applyBorder="1" applyAlignment="1">
      <alignment horizontal="left" vertical="center" wrapText="1"/>
    </xf>
    <xf numFmtId="0" fontId="1" fillId="0" borderId="0" xfId="0" applyFont="1" applyAlignment="1">
      <alignment horizontal="left" vertical="center" wrapText="1"/>
    </xf>
    <xf numFmtId="0" fontId="7" fillId="4"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4" fillId="8" borderId="0" xfId="0" applyFont="1" applyFill="1" applyAlignment="1">
      <alignment horizontal="left" vertical="center" wrapText="1"/>
    </xf>
    <xf numFmtId="0" fontId="1" fillId="0" borderId="0" xfId="0" applyFont="1" applyAlignment="1">
      <alignment horizontal="left" vertical="center" wrapText="1"/>
    </xf>
    <xf numFmtId="0" fontId="9" fillId="6" borderId="1" xfId="0" applyFont="1" applyFill="1" applyBorder="1" applyAlignment="1">
      <alignment horizontal="right" vertical="center" wrapText="1"/>
    </xf>
    <xf numFmtId="9" fontId="9" fillId="6" borderId="1" xfId="0" applyNumberFormat="1" applyFont="1" applyFill="1" applyBorder="1" applyAlignment="1">
      <alignment horizontal="right" vertical="center" wrapText="1"/>
    </xf>
    <xf numFmtId="2" fontId="1" fillId="0" borderId="1" xfId="0" applyNumberFormat="1" applyFont="1" applyBorder="1" applyAlignment="1">
      <alignment horizontal="right" vertical="center" wrapText="1"/>
    </xf>
    <xf numFmtId="0" fontId="1" fillId="0" borderId="1" xfId="0" applyFont="1" applyBorder="1" applyAlignment="1">
      <alignment horizontal="right" vertical="center" wrapText="1"/>
    </xf>
    <xf numFmtId="0" fontId="1" fillId="0" borderId="0" xfId="0" applyFont="1" applyAlignment="1">
      <alignment horizontal="right" vertical="center" wrapText="1"/>
    </xf>
    <xf numFmtId="0" fontId="8" fillId="5" borderId="1" xfId="0" applyFont="1" applyFill="1" applyBorder="1" applyAlignment="1">
      <alignment horizontal="right" vertical="center" wrapText="1"/>
    </xf>
    <xf numFmtId="2" fontId="8" fillId="5" borderId="1" xfId="0" applyNumberFormat="1" applyFont="1" applyFill="1" applyBorder="1" applyAlignment="1">
      <alignment horizontal="right" vertical="center" wrapText="1"/>
    </xf>
    <xf numFmtId="0" fontId="6" fillId="3" borderId="0" xfId="0" applyFont="1" applyFill="1" applyAlignment="1">
      <alignment horizontal="right" vertical="center" wrapText="1"/>
    </xf>
    <xf numFmtId="0" fontId="7" fillId="4" borderId="1" xfId="0" applyFont="1" applyFill="1" applyBorder="1" applyAlignment="1">
      <alignment horizontal="right" vertical="center" wrapText="1"/>
    </xf>
    <xf numFmtId="3" fontId="9" fillId="6" borderId="1" xfId="0" applyNumberFormat="1" applyFont="1" applyFill="1" applyBorder="1" applyAlignment="1">
      <alignment horizontal="right" vertical="center" wrapText="1"/>
    </xf>
    <xf numFmtId="164" fontId="9" fillId="6" borderId="1" xfId="0" applyNumberFormat="1" applyFont="1" applyFill="1" applyBorder="1" applyAlignment="1">
      <alignment horizontal="right" vertical="center" wrapText="1"/>
    </xf>
    <xf numFmtId="164" fontId="1" fillId="0" borderId="1" xfId="0" applyNumberFormat="1" applyFont="1" applyBorder="1" applyAlignment="1">
      <alignment horizontal="right" vertical="center" wrapText="1"/>
    </xf>
    <xf numFmtId="3" fontId="8" fillId="5" borderId="1" xfId="0" applyNumberFormat="1" applyFont="1" applyFill="1" applyBorder="1" applyAlignment="1">
      <alignment horizontal="right" vertical="center" wrapText="1"/>
    </xf>
    <xf numFmtId="164" fontId="8" fillId="5" borderId="1" xfId="0" applyNumberFormat="1" applyFont="1" applyFill="1" applyBorder="1" applyAlignment="1">
      <alignment horizontal="right" vertical="center" wrapText="1"/>
    </xf>
    <xf numFmtId="9" fontId="9" fillId="6" borderId="0" xfId="0" applyNumberFormat="1" applyFont="1" applyFill="1" applyAlignment="1">
      <alignment horizontal="right" vertical="center" wrapText="1"/>
    </xf>
    <xf numFmtId="0" fontId="1" fillId="6" borderId="0" xfId="0" applyFont="1" applyFill="1" applyAlignment="1">
      <alignment horizontal="right" vertical="center" wrapText="1"/>
    </xf>
    <xf numFmtId="0" fontId="5" fillId="0" borderId="0" xfId="0" applyFont="1" applyAlignment="1">
      <alignment horizontal="right" vertical="center" wrapText="1"/>
    </xf>
    <xf numFmtId="0" fontId="1" fillId="0" borderId="0" xfId="0" applyFont="1" applyAlignment="1">
      <alignment horizontal="right" vertical="center" wrapText="1"/>
    </xf>
    <xf numFmtId="165" fontId="1" fillId="0" borderId="1" xfId="0" applyNumberFormat="1" applyFont="1" applyBorder="1" applyAlignment="1">
      <alignment horizontal="right" vertical="center" wrapText="1"/>
    </xf>
    <xf numFmtId="165" fontId="2" fillId="7" borderId="1" xfId="0" applyNumberFormat="1" applyFont="1" applyFill="1" applyBorder="1" applyAlignment="1">
      <alignment horizontal="right" vertical="center" wrapText="1"/>
    </xf>
    <xf numFmtId="0" fontId="1" fillId="0" borderId="0" xfId="0" applyFont="1" applyAlignment="1">
      <alignment horizontal="center" wrapText="1"/>
    </xf>
    <xf numFmtId="0" fontId="1" fillId="0" borderId="0" xfId="0" applyFont="1" applyAlignment="1">
      <alignment wrapText="1"/>
    </xf>
    <xf numFmtId="0" fontId="1" fillId="0" borderId="1" xfId="0" applyFont="1" applyBorder="1" applyAlignment="1">
      <alignment wrapText="1"/>
    </xf>
    <xf numFmtId="3" fontId="1" fillId="0" borderId="1" xfId="0" applyNumberFormat="1" applyFont="1" applyBorder="1" applyAlignment="1">
      <alignment wrapText="1"/>
    </xf>
    <xf numFmtId="0" fontId="8" fillId="5" borderId="1" xfId="0" applyFont="1" applyFill="1" applyBorder="1" applyAlignment="1">
      <alignment wrapText="1"/>
    </xf>
    <xf numFmtId="3" fontId="8" fillId="5" borderId="1" xfId="0" applyNumberFormat="1" applyFont="1" applyFill="1" applyBorder="1" applyAlignment="1">
      <alignment wrapText="1"/>
    </xf>
    <xf numFmtId="0" fontId="10"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Annual Gemini Cost by Usage Scenario</a:t>
            </a:r>
          </a:p>
        </c:rich>
      </c:tx>
      <c:overlay val="0"/>
    </c:title>
    <c:autoTitleDeleted val="0"/>
    <c:plotArea>
      <c:layout/>
      <c:barChart>
        <c:barDir val="col"/>
        <c:grouping val="clustered"/>
        <c:varyColors val="0"/>
        <c:ser>
          <c:idx val="0"/>
          <c:order val="0"/>
          <c:tx>
            <c:strRef>
              <c:f>'Cost Calculator'!$N$23</c:f>
              <c:strCache>
                <c:ptCount val="1"/>
                <c:pt idx="0">
                  <c:v>Annual Cost</c:v>
                </c:pt>
              </c:strCache>
            </c:strRef>
          </c:tx>
          <c:invertIfNegative val="0"/>
          <c:cat>
            <c:strRef>
              <c:f>'Cost Calculator'!$M$24:$M$26</c:f>
              <c:strCache>
                <c:ptCount val="3"/>
                <c:pt idx="0">
                  <c:v>Admin weekly generation</c:v>
                </c:pt>
                <c:pt idx="1">
                  <c:v>Developer testing</c:v>
                </c:pt>
                <c:pt idx="2">
                  <c:v>Admin failed attempts</c:v>
                </c:pt>
              </c:strCache>
            </c:strRef>
          </c:cat>
          <c:val>
            <c:numRef>
              <c:f>'Cost Calculator'!$N$24:$N$26</c:f>
              <c:numCache>
                <c:formatCode>\$0.00</c:formatCode>
                <c:ptCount val="3"/>
                <c:pt idx="0">
                  <c:v>38.39297280000001</c:v>
                </c:pt>
                <c:pt idx="1">
                  <c:v>19.196486400000005</c:v>
                </c:pt>
                <c:pt idx="2">
                  <c:v>19.196486400000005</c:v>
                </c:pt>
              </c:numCache>
            </c:numRef>
          </c:val>
          <c:extLst>
            <c:ext xmlns:c16="http://schemas.microsoft.com/office/drawing/2014/chart" uri="{C3380CC4-5D6E-409C-BE32-E72D297353CC}">
              <c16:uniqueId val="{00000003-D31C-4357-8D35-F3FE8DAD4181}"/>
            </c:ext>
          </c:extLst>
        </c:ser>
        <c:dLbls>
          <c:showLegendKey val="0"/>
          <c:showVal val="0"/>
          <c:showCatName val="0"/>
          <c:showSerName val="0"/>
          <c:showPercent val="0"/>
          <c:showBubbleSize val="0"/>
        </c:dLbls>
        <c:gapWidth val="150"/>
        <c:axId val="1712914015"/>
        <c:axId val="1712914975"/>
      </c:barChart>
      <c:catAx>
        <c:axId val="1712914015"/>
        <c:scaling>
          <c:orientation val="minMax"/>
        </c:scaling>
        <c:delete val="0"/>
        <c:axPos val="b"/>
        <c:numFmt formatCode="General" sourceLinked="1"/>
        <c:majorTickMark val="out"/>
        <c:minorTickMark val="none"/>
        <c:tickLblPos val="nextTo"/>
        <c:crossAx val="1712914975"/>
        <c:crosses val="autoZero"/>
        <c:auto val="1"/>
        <c:lblAlgn val="ctr"/>
        <c:lblOffset val="100"/>
        <c:noMultiLvlLbl val="0"/>
      </c:catAx>
      <c:valAx>
        <c:axId val="1712914975"/>
        <c:scaling>
          <c:orientation val="minMax"/>
        </c:scaling>
        <c:delete val="0"/>
        <c:axPos val="l"/>
        <c:majorGridlines/>
        <c:title>
          <c:tx>
            <c:rich>
              <a:bodyPr/>
              <a:lstStyle/>
              <a:p>
                <a:pPr>
                  <a:defRPr/>
                </a:pPr>
                <a:r>
                  <a:rPr lang="en-GB"/>
                  <a:t>USD</a:t>
                </a:r>
              </a:p>
            </c:rich>
          </c:tx>
          <c:overlay val="0"/>
        </c:title>
        <c:numFmt formatCode="0.00" sourceLinked="0"/>
        <c:majorTickMark val="out"/>
        <c:minorTickMark val="none"/>
        <c:tickLblPos val="nextTo"/>
        <c:crossAx val="1712914015"/>
        <c:crosses val="autoZero"/>
        <c:crossBetween val="between"/>
      </c:valAx>
    </c:plotArea>
    <c:plotVisOnly val="0"/>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27</xdr:row>
      <xdr:rowOff>0</xdr:rowOff>
    </xdr:from>
    <xdr:to>
      <xdr:col>11</xdr:col>
      <xdr:colOff>50800</xdr:colOff>
      <xdr:row>41</xdr:row>
      <xdr:rowOff>76200</xdr:rowOff>
    </xdr:to>
    <xdr:graphicFrame macro="">
      <xdr:nvGraphicFramePr>
        <xdr:cNvPr id="2" name="Chart 1">
          <a:extLst>
            <a:ext uri="{FF2B5EF4-FFF2-40B4-BE49-F238E27FC236}">
              <a16:creationId xmlns:a16="http://schemas.microsoft.com/office/drawing/2014/main" id="{582D54C9-F641-887D-D570-7E926419A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79"/>
  <sheetViews>
    <sheetView showGridLines="0" tabSelected="1" zoomScale="101" workbookViewId="0">
      <selection activeCell="A2" sqref="A2"/>
    </sheetView>
  </sheetViews>
  <sheetFormatPr defaultRowHeight="13"/>
  <cols>
    <col min="1" max="1" width="2.58203125" style="1" customWidth="1"/>
    <col min="2" max="2" width="28.58203125" style="1" customWidth="1"/>
    <col min="3" max="3" width="24.58203125" style="1" customWidth="1"/>
    <col min="4" max="4" width="18.58203125" style="1" customWidth="1"/>
    <col min="5" max="5" width="24.58203125" style="1" customWidth="1"/>
    <col min="6" max="7" width="17.58203125" style="1" customWidth="1"/>
    <col min="8" max="8" width="30.58203125" style="1" customWidth="1"/>
    <col min="9" max="10" width="15.58203125" style="1" customWidth="1"/>
    <col min="11" max="11" width="17.58203125" style="1" customWidth="1"/>
    <col min="12" max="12" width="8.6640625" style="1"/>
    <col min="13" max="14" width="0" style="1" hidden="1" customWidth="1"/>
    <col min="15" max="16384" width="8.6640625" style="1"/>
  </cols>
  <sheetData>
    <row r="1" spans="2:11" ht="28" customHeight="1">
      <c r="B1" s="7" t="s">
        <v>6</v>
      </c>
      <c r="C1" s="7"/>
      <c r="D1" s="7"/>
      <c r="E1" s="7"/>
      <c r="F1" s="7"/>
      <c r="G1" s="7"/>
      <c r="H1" s="7"/>
      <c r="I1" s="7"/>
      <c r="J1" s="7"/>
      <c r="K1" s="7"/>
    </row>
    <row r="2" spans="2:11" ht="18" customHeight="1">
      <c r="B2" s="7"/>
      <c r="C2" s="7"/>
      <c r="D2" s="7"/>
      <c r="E2" s="7"/>
      <c r="F2" s="7"/>
      <c r="G2" s="7"/>
      <c r="H2" s="7"/>
      <c r="I2" s="7"/>
      <c r="J2" s="7"/>
      <c r="K2" s="7"/>
    </row>
    <row r="3" spans="2:11" ht="24" customHeight="1">
      <c r="B3" s="8" t="s">
        <v>7</v>
      </c>
      <c r="C3" s="9"/>
      <c r="D3" s="9"/>
      <c r="E3" s="9"/>
      <c r="F3" s="9"/>
      <c r="G3" s="9"/>
      <c r="H3" s="9"/>
      <c r="I3" s="9"/>
      <c r="J3" s="9"/>
      <c r="K3" s="9"/>
    </row>
    <row r="4" spans="2:11" ht="16.649999999999999" customHeight="1">
      <c r="B4" s="10"/>
      <c r="C4" s="10"/>
      <c r="D4" s="10"/>
      <c r="E4" s="10"/>
      <c r="F4" s="10"/>
      <c r="G4" s="10"/>
      <c r="H4" s="10"/>
      <c r="I4" s="10"/>
      <c r="J4" s="10"/>
      <c r="K4" s="10"/>
    </row>
    <row r="5" spans="2:11" ht="16.649999999999999" customHeight="1">
      <c r="B5" s="11" t="s">
        <v>8</v>
      </c>
      <c r="C5" s="11"/>
      <c r="D5" s="11"/>
      <c r="E5" s="11"/>
      <c r="F5" s="11"/>
      <c r="G5" s="11"/>
      <c r="H5" s="11"/>
      <c r="I5" s="11"/>
      <c r="J5" s="11"/>
      <c r="K5" s="11"/>
    </row>
    <row r="6" spans="2:11" ht="36" customHeight="1">
      <c r="B6" s="2" t="s">
        <v>9</v>
      </c>
      <c r="C6" s="2" t="s">
        <v>10</v>
      </c>
      <c r="D6" s="2" t="s">
        <v>11</v>
      </c>
      <c r="E6" s="2" t="s">
        <v>12</v>
      </c>
      <c r="F6" s="2" t="s">
        <v>13</v>
      </c>
      <c r="G6" s="2" t="s">
        <v>14</v>
      </c>
      <c r="H6" s="2" t="s">
        <v>1</v>
      </c>
      <c r="I6" s="10"/>
      <c r="J6" s="10"/>
      <c r="K6" s="10"/>
    </row>
    <row r="7" spans="2:11" ht="38" customHeight="1">
      <c r="B7" s="12" t="s">
        <v>15</v>
      </c>
      <c r="C7" s="19">
        <v>1</v>
      </c>
      <c r="D7" s="20">
        <v>1</v>
      </c>
      <c r="E7" s="21">
        <f>C7*D7</f>
        <v>1</v>
      </c>
      <c r="F7" s="21">
        <f>E7*52/12</f>
        <v>4.333333333333333</v>
      </c>
      <c r="G7" s="21">
        <f>E7*52</f>
        <v>52</v>
      </c>
      <c r="H7" s="22" t="s">
        <v>18</v>
      </c>
      <c r="I7" s="23"/>
      <c r="J7" s="23"/>
      <c r="K7" s="23"/>
    </row>
    <row r="8" spans="2:11" ht="38" customHeight="1">
      <c r="B8" s="12" t="s">
        <v>16</v>
      </c>
      <c r="C8" s="19">
        <v>2</v>
      </c>
      <c r="D8" s="20">
        <v>0.25</v>
      </c>
      <c r="E8" s="21">
        <f t="shared" ref="E8:E9" si="0">C8*D8</f>
        <v>0.5</v>
      </c>
      <c r="F8" s="21">
        <f t="shared" ref="F8:F9" si="1">E8*52/12</f>
        <v>2.1666666666666665</v>
      </c>
      <c r="G8" s="21">
        <f t="shared" ref="G8:G9" si="2">E8*52</f>
        <v>26</v>
      </c>
      <c r="H8" s="22" t="s">
        <v>19</v>
      </c>
      <c r="I8" s="23"/>
      <c r="J8" s="23"/>
      <c r="K8" s="23"/>
    </row>
    <row r="9" spans="2:11" ht="44" customHeight="1">
      <c r="B9" s="12" t="s">
        <v>17</v>
      </c>
      <c r="C9" s="19">
        <v>1</v>
      </c>
      <c r="D9" s="20">
        <v>0.5</v>
      </c>
      <c r="E9" s="21">
        <f t="shared" si="0"/>
        <v>0.5</v>
      </c>
      <c r="F9" s="21">
        <f t="shared" si="1"/>
        <v>2.1666666666666665</v>
      </c>
      <c r="G9" s="21">
        <f t="shared" si="2"/>
        <v>26</v>
      </c>
      <c r="H9" s="22" t="s">
        <v>20</v>
      </c>
      <c r="I9" s="23"/>
      <c r="J9" s="23"/>
      <c r="K9" s="23"/>
    </row>
    <row r="10" spans="2:11" ht="16.649999999999999" customHeight="1">
      <c r="B10" s="13" t="s">
        <v>21</v>
      </c>
      <c r="C10" s="24"/>
      <c r="D10" s="24"/>
      <c r="E10" s="25">
        <f>SUM(E7:E9)</f>
        <v>2</v>
      </c>
      <c r="F10" s="25">
        <f>SUM(F7:F9)</f>
        <v>8.6666666666666661</v>
      </c>
      <c r="G10" s="25">
        <f>SUM(G7:G9)</f>
        <v>104</v>
      </c>
      <c r="H10" s="24"/>
      <c r="I10" s="23"/>
      <c r="J10" s="23"/>
      <c r="K10" s="23"/>
    </row>
    <row r="11" spans="2:11" ht="16.649999999999999" customHeight="1">
      <c r="B11" s="14"/>
      <c r="C11" s="23"/>
      <c r="D11" s="23"/>
      <c r="E11" s="23"/>
      <c r="F11" s="23"/>
      <c r="G11" s="23"/>
      <c r="H11" s="23"/>
      <c r="I11" s="23"/>
      <c r="J11" s="23"/>
      <c r="K11" s="23"/>
    </row>
    <row r="12" spans="2:11" ht="16.649999999999999" customHeight="1">
      <c r="B12" s="11" t="s">
        <v>22</v>
      </c>
      <c r="C12" s="26"/>
      <c r="D12" s="26"/>
      <c r="E12" s="26"/>
      <c r="F12" s="26"/>
      <c r="G12" s="26"/>
      <c r="H12" s="26"/>
      <c r="I12" s="26"/>
      <c r="J12" s="26"/>
      <c r="K12" s="26"/>
    </row>
    <row r="13" spans="2:11" ht="44" customHeight="1">
      <c r="B13" s="15" t="s">
        <v>23</v>
      </c>
      <c r="C13" s="27" t="s">
        <v>24</v>
      </c>
      <c r="D13" s="27" t="s">
        <v>25</v>
      </c>
      <c r="E13" s="27" t="s">
        <v>26</v>
      </c>
      <c r="F13" s="27" t="s">
        <v>27</v>
      </c>
      <c r="G13" s="27" t="s">
        <v>28</v>
      </c>
      <c r="H13" s="27" t="s">
        <v>29</v>
      </c>
      <c r="I13" s="27" t="s">
        <v>30</v>
      </c>
      <c r="J13" s="27" t="s">
        <v>31</v>
      </c>
      <c r="K13" s="27" t="s">
        <v>32</v>
      </c>
    </row>
    <row r="14" spans="2:11" ht="16.649999999999999" customHeight="1">
      <c r="B14" s="12" t="s">
        <v>33</v>
      </c>
      <c r="C14" s="22" t="s">
        <v>34</v>
      </c>
      <c r="D14" s="28">
        <v>6</v>
      </c>
      <c r="E14" s="28">
        <v>58644</v>
      </c>
      <c r="F14" s="28">
        <v>13008</v>
      </c>
      <c r="G14" s="28">
        <v>52480</v>
      </c>
      <c r="H14" s="28">
        <f>F14+G14</f>
        <v>65488</v>
      </c>
      <c r="I14" s="29">
        <v>0.5</v>
      </c>
      <c r="J14" s="29">
        <v>3</v>
      </c>
      <c r="K14" s="30">
        <f>E14/1000000*I14+H14/1000000*J14</f>
        <v>0.22578600000000004</v>
      </c>
    </row>
    <row r="15" spans="2:11" ht="16.649999999999999" customHeight="1">
      <c r="B15" s="12" t="s">
        <v>35</v>
      </c>
      <c r="C15" s="22" t="s">
        <v>36</v>
      </c>
      <c r="D15" s="28">
        <v>3</v>
      </c>
      <c r="E15" s="28">
        <v>10528</v>
      </c>
      <c r="F15" s="28">
        <v>3061</v>
      </c>
      <c r="G15" s="28">
        <v>27329</v>
      </c>
      <c r="H15" s="28">
        <f t="shared" ref="H15:H16" si="3">F15+G15</f>
        <v>30390</v>
      </c>
      <c r="I15" s="29">
        <v>2</v>
      </c>
      <c r="J15" s="29">
        <v>12</v>
      </c>
      <c r="K15" s="30">
        <f t="shared" ref="K15:K16" si="4">E15/1000000*I15+H15/1000000*J15</f>
        <v>0.38573600000000002</v>
      </c>
    </row>
    <row r="16" spans="2:11" ht="16.649999999999999" customHeight="1">
      <c r="B16" s="12" t="s">
        <v>37</v>
      </c>
      <c r="C16" s="22" t="s">
        <v>38</v>
      </c>
      <c r="D16" s="28">
        <v>7</v>
      </c>
      <c r="E16" s="28">
        <v>25000</v>
      </c>
      <c r="F16" s="28">
        <v>0</v>
      </c>
      <c r="G16" s="28">
        <v>0</v>
      </c>
      <c r="H16" s="28">
        <f t="shared" si="3"/>
        <v>0</v>
      </c>
      <c r="I16" s="29">
        <v>0.15</v>
      </c>
      <c r="J16" s="29">
        <v>0</v>
      </c>
      <c r="K16" s="30">
        <f t="shared" si="4"/>
        <v>3.7499999999999999E-3</v>
      </c>
    </row>
    <row r="17" spans="2:14" ht="16.649999999999999" customHeight="1">
      <c r="B17" s="13" t="s">
        <v>39</v>
      </c>
      <c r="C17" s="24"/>
      <c r="D17" s="31">
        <f>SUM(D14:D16)</f>
        <v>16</v>
      </c>
      <c r="E17" s="31">
        <f>SUM(E14:E16)</f>
        <v>94172</v>
      </c>
      <c r="F17" s="31">
        <f>SUM(F14:F16)</f>
        <v>16069</v>
      </c>
      <c r="G17" s="31">
        <f>SUM(G14:G16)</f>
        <v>79809</v>
      </c>
      <c r="H17" s="31">
        <f>SUM(H14:H16)</f>
        <v>95878</v>
      </c>
      <c r="I17" s="32"/>
      <c r="J17" s="32"/>
      <c r="K17" s="32">
        <f>SUM(K14:K16)</f>
        <v>0.61527200000000015</v>
      </c>
    </row>
    <row r="18" spans="2:14" ht="16.649999999999999" customHeight="1">
      <c r="B18" s="14"/>
      <c r="C18" s="23"/>
      <c r="D18" s="23"/>
      <c r="E18" s="23"/>
      <c r="F18" s="23"/>
      <c r="G18" s="23"/>
      <c r="H18" s="23"/>
      <c r="I18" s="23"/>
      <c r="J18" s="23"/>
      <c r="K18" s="23"/>
    </row>
    <row r="19" spans="2:14" ht="16.649999999999999" customHeight="1">
      <c r="B19" s="14" t="s">
        <v>40</v>
      </c>
      <c r="C19" s="33">
        <v>0.2</v>
      </c>
      <c r="D19" s="23"/>
      <c r="E19" s="23" t="s">
        <v>41</v>
      </c>
      <c r="F19" s="34">
        <v>120</v>
      </c>
      <c r="G19" s="23"/>
      <c r="H19" s="35" t="s">
        <v>42</v>
      </c>
      <c r="I19" s="36"/>
      <c r="J19" s="36"/>
      <c r="K19" s="36"/>
    </row>
    <row r="20" spans="2:14" ht="16.649999999999999" customHeight="1">
      <c r="B20" s="14"/>
      <c r="C20" s="23"/>
      <c r="D20" s="23"/>
      <c r="E20" s="23"/>
      <c r="F20" s="23"/>
      <c r="G20" s="23"/>
      <c r="H20" s="36"/>
      <c r="I20" s="36"/>
      <c r="J20" s="36"/>
      <c r="K20" s="36"/>
    </row>
    <row r="21" spans="2:14" ht="16.649999999999999" customHeight="1">
      <c r="B21" s="14"/>
      <c r="C21" s="23"/>
      <c r="D21" s="23"/>
      <c r="E21" s="23"/>
      <c r="F21" s="23"/>
      <c r="G21" s="23"/>
      <c r="H21" s="23"/>
      <c r="I21" s="23"/>
      <c r="J21" s="23"/>
      <c r="K21" s="23"/>
    </row>
    <row r="22" spans="2:14" ht="16.649999999999999" customHeight="1">
      <c r="B22" s="11" t="s">
        <v>43</v>
      </c>
      <c r="C22" s="26"/>
      <c r="D22" s="26"/>
      <c r="E22" s="26"/>
      <c r="F22" s="26"/>
      <c r="G22" s="26"/>
      <c r="H22" s="26"/>
      <c r="I22" s="26"/>
      <c r="J22" s="26"/>
      <c r="K22" s="26"/>
    </row>
    <row r="23" spans="2:14" ht="16.649999999999999" customHeight="1">
      <c r="B23" s="15" t="s">
        <v>4</v>
      </c>
      <c r="C23" s="27" t="s">
        <v>44</v>
      </c>
      <c r="D23" s="23"/>
      <c r="E23" s="27" t="s">
        <v>52</v>
      </c>
      <c r="F23" s="27" t="s">
        <v>53</v>
      </c>
      <c r="G23" s="27" t="s">
        <v>54</v>
      </c>
      <c r="H23" s="27" t="s">
        <v>55</v>
      </c>
      <c r="I23" s="27" t="s">
        <v>56</v>
      </c>
      <c r="J23" s="27" t="s">
        <v>57</v>
      </c>
      <c r="K23" s="27" t="s">
        <v>58</v>
      </c>
      <c r="M23" s="1" t="s">
        <v>52</v>
      </c>
      <c r="N23" s="1" t="s">
        <v>58</v>
      </c>
    </row>
    <row r="24" spans="2:14" ht="16.649999999999999" customHeight="1">
      <c r="B24" s="12" t="s">
        <v>45</v>
      </c>
      <c r="C24" s="37">
        <f>K17</f>
        <v>0.61527200000000015</v>
      </c>
      <c r="D24" s="23"/>
      <c r="E24" s="22" t="s">
        <v>15</v>
      </c>
      <c r="F24" s="21">
        <f>E7</f>
        <v>1</v>
      </c>
      <c r="G24" s="21">
        <f>F7</f>
        <v>4.333333333333333</v>
      </c>
      <c r="H24" s="21">
        <f>G7</f>
        <v>52</v>
      </c>
      <c r="I24" s="37">
        <f>$K$17*F24*(1+$C$19)</f>
        <v>0.73832640000000016</v>
      </c>
      <c r="J24" s="37">
        <f>$K$17*G24*(1+$C$19)</f>
        <v>3.1994144000000007</v>
      </c>
      <c r="K24" s="37">
        <f>$K$17*H24*(1+$C$19)</f>
        <v>38.39297280000001</v>
      </c>
      <c r="M24" s="1" t="s">
        <v>15</v>
      </c>
      <c r="N24" s="4">
        <f>K24</f>
        <v>38.39297280000001</v>
      </c>
    </row>
    <row r="25" spans="2:14" ht="16.649999999999999" customHeight="1">
      <c r="B25" s="12" t="s">
        <v>46</v>
      </c>
      <c r="C25" s="37">
        <f>K17*E10*(1+$C$19)</f>
        <v>1.4766528000000003</v>
      </c>
      <c r="D25" s="23"/>
      <c r="E25" s="22" t="s">
        <v>16</v>
      </c>
      <c r="F25" s="21">
        <f t="shared" ref="F25:H26" si="5">E8</f>
        <v>0.5</v>
      </c>
      <c r="G25" s="21">
        <f t="shared" si="5"/>
        <v>2.1666666666666665</v>
      </c>
      <c r="H25" s="21">
        <f t="shared" si="5"/>
        <v>26</v>
      </c>
      <c r="I25" s="37">
        <f t="shared" ref="I25:I26" si="6">$K$17*F25*(1+$C$19)</f>
        <v>0.36916320000000008</v>
      </c>
      <c r="J25" s="37">
        <f t="shared" ref="J25:J26" si="7">$K$17*G25*(1+$C$19)</f>
        <v>1.5997072000000003</v>
      </c>
      <c r="K25" s="37">
        <f t="shared" ref="K25:K26" si="8">$K$17*H25*(1+$C$19)</f>
        <v>19.196486400000005</v>
      </c>
      <c r="M25" s="1" t="s">
        <v>16</v>
      </c>
      <c r="N25" s="4">
        <f t="shared" ref="N25:N26" si="9">K25</f>
        <v>19.196486400000005</v>
      </c>
    </row>
    <row r="26" spans="2:14" ht="16.649999999999999" customHeight="1">
      <c r="B26" s="12" t="s">
        <v>47</v>
      </c>
      <c r="C26" s="37">
        <f>K17*F10*(1+$C$19)</f>
        <v>6.3988288000000013</v>
      </c>
      <c r="D26" s="23"/>
      <c r="E26" s="22" t="s">
        <v>17</v>
      </c>
      <c r="F26" s="21">
        <f t="shared" si="5"/>
        <v>0.5</v>
      </c>
      <c r="G26" s="21">
        <f t="shared" si="5"/>
        <v>2.1666666666666665</v>
      </c>
      <c r="H26" s="21">
        <f t="shared" si="5"/>
        <v>26</v>
      </c>
      <c r="I26" s="37">
        <f t="shared" si="6"/>
        <v>0.36916320000000008</v>
      </c>
      <c r="J26" s="37">
        <f t="shared" si="7"/>
        <v>1.5997072000000003</v>
      </c>
      <c r="K26" s="37">
        <f t="shared" si="8"/>
        <v>19.196486400000005</v>
      </c>
      <c r="M26" s="1" t="s">
        <v>17</v>
      </c>
      <c r="N26" s="4">
        <f t="shared" si="9"/>
        <v>19.196486400000005</v>
      </c>
    </row>
    <row r="27" spans="2:14" ht="16.649999999999999" customHeight="1">
      <c r="B27" s="16" t="s">
        <v>48</v>
      </c>
      <c r="C27" s="38">
        <f>K17*G10*(1+$C$19)</f>
        <v>76.785945600000019</v>
      </c>
      <c r="D27" s="23"/>
      <c r="E27" s="23"/>
      <c r="F27" s="23"/>
      <c r="G27" s="23"/>
      <c r="H27" s="23"/>
      <c r="I27" s="23"/>
      <c r="J27" s="23"/>
      <c r="K27" s="23"/>
    </row>
    <row r="28" spans="2:14" ht="16.649999999999999" customHeight="1">
      <c r="B28" s="12" t="s">
        <v>49</v>
      </c>
      <c r="C28" s="37">
        <f>K17*G7*(1+$C$19)</f>
        <v>38.39297280000001</v>
      </c>
      <c r="D28" s="23"/>
      <c r="E28" s="23"/>
      <c r="F28" s="23"/>
      <c r="G28" s="23"/>
      <c r="H28" s="23"/>
      <c r="I28" s="23"/>
      <c r="J28" s="23"/>
      <c r="K28" s="23"/>
    </row>
    <row r="29" spans="2:14" ht="16.649999999999999" customHeight="1">
      <c r="B29" s="12" t="s">
        <v>50</v>
      </c>
      <c r="C29" s="37">
        <f>K17*G8*(1+$C$19)</f>
        <v>19.196486400000005</v>
      </c>
      <c r="D29" s="23"/>
      <c r="E29" s="23"/>
      <c r="F29" s="23"/>
      <c r="G29" s="23"/>
      <c r="H29" s="23"/>
      <c r="I29" s="23"/>
      <c r="J29" s="23"/>
      <c r="K29" s="23"/>
    </row>
    <row r="30" spans="2:14" ht="16.649999999999999" customHeight="1">
      <c r="B30" s="12" t="s">
        <v>51</v>
      </c>
      <c r="C30" s="37">
        <f>K17*G9*(1+$C$19)</f>
        <v>19.196486400000005</v>
      </c>
      <c r="D30" s="23"/>
      <c r="E30" s="23"/>
      <c r="F30" s="23"/>
      <c r="G30" s="23"/>
      <c r="H30" s="23"/>
      <c r="I30" s="23"/>
      <c r="J30" s="23"/>
      <c r="K30" s="23"/>
    </row>
    <row r="31" spans="2:14" ht="16.649999999999999" customHeight="1">
      <c r="B31" s="14"/>
      <c r="C31" s="10"/>
      <c r="D31" s="10"/>
      <c r="E31" s="10"/>
      <c r="F31" s="10"/>
      <c r="G31" s="10"/>
      <c r="H31" s="10"/>
      <c r="I31" s="10"/>
      <c r="J31" s="10"/>
      <c r="K31" s="10"/>
    </row>
    <row r="32" spans="2:14" ht="16.649999999999999" customHeight="1">
      <c r="B32" s="14"/>
      <c r="C32" s="10"/>
      <c r="D32" s="10"/>
      <c r="E32" s="10"/>
      <c r="F32" s="10"/>
      <c r="G32" s="10"/>
      <c r="H32" s="10"/>
      <c r="I32" s="10"/>
      <c r="J32" s="10"/>
      <c r="K32" s="10"/>
    </row>
    <row r="33" spans="2:11" ht="28" customHeight="1">
      <c r="B33" s="17" t="s">
        <v>59</v>
      </c>
      <c r="C33" s="6"/>
      <c r="D33" s="6"/>
      <c r="E33" s="10"/>
      <c r="F33" s="10"/>
      <c r="G33" s="10"/>
      <c r="H33" s="10"/>
      <c r="I33" s="10"/>
      <c r="J33" s="10"/>
      <c r="K33" s="10"/>
    </row>
    <row r="34" spans="2:11" ht="16.649999999999999" customHeight="1">
      <c r="B34" s="18"/>
      <c r="C34" s="6"/>
      <c r="D34" s="6"/>
      <c r="E34" s="10"/>
      <c r="F34" s="10"/>
      <c r="G34" s="10"/>
      <c r="H34" s="10"/>
      <c r="I34" s="10"/>
      <c r="J34" s="10"/>
      <c r="K34" s="10"/>
    </row>
    <row r="35" spans="2:11" ht="16.649999999999999" customHeight="1">
      <c r="B35" s="18"/>
      <c r="C35" s="6"/>
      <c r="D35" s="6"/>
      <c r="E35" s="10"/>
      <c r="F35" s="10"/>
      <c r="G35" s="10"/>
      <c r="H35" s="10"/>
      <c r="I35" s="10"/>
      <c r="J35" s="10"/>
      <c r="K35" s="10"/>
    </row>
    <row r="36" spans="2:11" ht="16.649999999999999" customHeight="1">
      <c r="B36" s="6"/>
      <c r="C36" s="6"/>
      <c r="D36" s="6"/>
    </row>
    <row r="37" spans="2:11" ht="16.649999999999999" customHeight="1">
      <c r="B37" s="6"/>
      <c r="C37" s="6"/>
      <c r="D37" s="6"/>
    </row>
    <row r="38" spans="2:11" ht="16.649999999999999" customHeight="1">
      <c r="B38" s="6"/>
      <c r="C38" s="6"/>
      <c r="D38" s="6"/>
    </row>
    <row r="39" spans="2:11" ht="16.649999999999999" customHeigh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sheetData>
  <mergeCells count="7">
    <mergeCell ref="B1:K2"/>
    <mergeCell ref="B3:K3"/>
    <mergeCell ref="B5:K5"/>
    <mergeCell ref="B12:K12"/>
    <mergeCell ref="H19:K20"/>
    <mergeCell ref="B22:K22"/>
    <mergeCell ref="B33:D38"/>
  </mergeCells>
  <pageMargins left="0.7" right="0.7" top="0.75" bottom="0.75" header="0.3" footer="0.3"/>
  <pageSetup paperSize="142" scale="1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106C-C766-4695-96B4-D588F22E2259}">
  <sheetPr>
    <pageSetUpPr fitToPage="1"/>
  </sheetPr>
  <dimension ref="B1:I27"/>
  <sheetViews>
    <sheetView showGridLines="0" workbookViewId="0"/>
  </sheetViews>
  <sheetFormatPr defaultRowHeight="13"/>
  <cols>
    <col min="1" max="1" width="2.58203125" style="1" customWidth="1"/>
    <col min="2" max="2" width="25.58203125" style="1" customWidth="1"/>
    <col min="3" max="3" width="24.58203125" style="1" customWidth="1"/>
    <col min="4" max="8" width="16.58203125" style="1" customWidth="1"/>
    <col min="9" max="9" width="40.58203125" style="1" customWidth="1"/>
    <col min="10" max="16384" width="8.6640625" style="1"/>
  </cols>
  <sheetData>
    <row r="1" spans="2:9">
      <c r="B1" s="7" t="s">
        <v>60</v>
      </c>
      <c r="C1" s="7"/>
      <c r="D1" s="7"/>
      <c r="E1" s="7"/>
      <c r="F1" s="7"/>
      <c r="G1" s="7"/>
      <c r="H1" s="7"/>
      <c r="I1" s="7"/>
    </row>
    <row r="2" spans="2:9">
      <c r="B2" s="7"/>
      <c r="C2" s="7"/>
      <c r="D2" s="7"/>
      <c r="E2" s="7"/>
      <c r="F2" s="7"/>
      <c r="G2" s="7"/>
      <c r="H2" s="7"/>
      <c r="I2" s="7"/>
    </row>
    <row r="3" spans="2:9">
      <c r="B3" s="39" t="s">
        <v>61</v>
      </c>
      <c r="C3" s="39"/>
      <c r="D3" s="39"/>
      <c r="E3" s="39"/>
      <c r="F3" s="39"/>
      <c r="G3" s="39"/>
      <c r="H3" s="39"/>
      <c r="I3" s="39"/>
    </row>
    <row r="4" spans="2:9">
      <c r="B4" s="40"/>
      <c r="C4" s="40"/>
      <c r="D4" s="40"/>
      <c r="E4" s="40"/>
      <c r="F4" s="40"/>
      <c r="G4" s="40"/>
      <c r="H4" s="40"/>
      <c r="I4" s="40"/>
    </row>
    <row r="5" spans="2:9" ht="14.5">
      <c r="B5" s="11" t="s">
        <v>62</v>
      </c>
      <c r="C5" s="11"/>
      <c r="D5" s="11"/>
      <c r="E5" s="11"/>
      <c r="F5" s="11"/>
      <c r="G5" s="11"/>
      <c r="H5" s="11"/>
      <c r="I5" s="11"/>
    </row>
    <row r="6" spans="2:9" ht="36" customHeight="1">
      <c r="B6" s="2" t="s">
        <v>63</v>
      </c>
      <c r="C6" s="2" t="s">
        <v>2</v>
      </c>
      <c r="D6" s="2" t="s">
        <v>64</v>
      </c>
      <c r="E6" s="2" t="s">
        <v>65</v>
      </c>
      <c r="F6" s="2" t="s">
        <v>28</v>
      </c>
      <c r="G6" s="2" t="s">
        <v>66</v>
      </c>
      <c r="H6" s="2" t="s">
        <v>67</v>
      </c>
      <c r="I6" s="2" t="s">
        <v>1</v>
      </c>
    </row>
    <row r="7" spans="2:9">
      <c r="B7" s="41" t="s">
        <v>34</v>
      </c>
      <c r="C7" s="42">
        <v>6</v>
      </c>
      <c r="D7" s="42">
        <v>58644</v>
      </c>
      <c r="E7" s="42">
        <v>13008</v>
      </c>
      <c r="F7" s="42">
        <v>52480</v>
      </c>
      <c r="G7" s="42">
        <v>65488</v>
      </c>
      <c r="H7" s="42">
        <v>124132</v>
      </c>
      <c r="I7" s="41" t="s">
        <v>68</v>
      </c>
    </row>
    <row r="8" spans="2:9">
      <c r="B8" s="41" t="s">
        <v>36</v>
      </c>
      <c r="C8" s="42">
        <v>3</v>
      </c>
      <c r="D8" s="42">
        <v>10528</v>
      </c>
      <c r="E8" s="42">
        <v>3061</v>
      </c>
      <c r="F8" s="42">
        <v>27329</v>
      </c>
      <c r="G8" s="42">
        <v>30390</v>
      </c>
      <c r="H8" s="42">
        <v>40918</v>
      </c>
      <c r="I8" s="41" t="s">
        <v>69</v>
      </c>
    </row>
    <row r="9" spans="2:9" ht="26">
      <c r="B9" s="41" t="s">
        <v>38</v>
      </c>
      <c r="C9" s="42">
        <v>7</v>
      </c>
      <c r="D9" s="42">
        <v>25000</v>
      </c>
      <c r="E9" s="42">
        <v>0</v>
      </c>
      <c r="F9" s="42">
        <v>0</v>
      </c>
      <c r="G9" s="42">
        <v>0</v>
      </c>
      <c r="H9" s="42">
        <v>25000</v>
      </c>
      <c r="I9" s="41" t="s">
        <v>70</v>
      </c>
    </row>
    <row r="10" spans="2:9">
      <c r="B10" s="43" t="s">
        <v>71</v>
      </c>
      <c r="C10" s="44">
        <f>SUM(C7:C9)</f>
        <v>16</v>
      </c>
      <c r="D10" s="44">
        <f>SUM(D7:D9)</f>
        <v>94172</v>
      </c>
      <c r="E10" s="44">
        <f>SUM(E7:E9)</f>
        <v>16069</v>
      </c>
      <c r="F10" s="44">
        <f>SUM(F7:F9)</f>
        <v>79809</v>
      </c>
      <c r="G10" s="44">
        <f>SUM(G7:G9)</f>
        <v>95878</v>
      </c>
      <c r="H10" s="44">
        <f>SUM(H7:H9)</f>
        <v>190050</v>
      </c>
      <c r="I10" s="43"/>
    </row>
    <row r="11" spans="2:9">
      <c r="B11" s="40"/>
      <c r="C11" s="40"/>
      <c r="D11" s="40"/>
      <c r="E11" s="40"/>
      <c r="F11" s="40"/>
      <c r="G11" s="40"/>
      <c r="H11" s="40"/>
      <c r="I11" s="40"/>
    </row>
    <row r="12" spans="2:9" ht="14.5">
      <c r="B12" s="11" t="s">
        <v>72</v>
      </c>
      <c r="C12" s="11"/>
      <c r="D12" s="11"/>
      <c r="E12" s="11"/>
      <c r="F12" s="11"/>
      <c r="G12" s="11"/>
      <c r="H12" s="11"/>
      <c r="I12" s="11"/>
    </row>
    <row r="13" spans="2:9" ht="34" customHeight="1">
      <c r="B13" s="2" t="s">
        <v>73</v>
      </c>
      <c r="C13" s="2" t="s">
        <v>63</v>
      </c>
      <c r="D13" s="2" t="s">
        <v>74</v>
      </c>
      <c r="E13" s="2" t="s">
        <v>65</v>
      </c>
      <c r="F13" s="2" t="s">
        <v>75</v>
      </c>
      <c r="G13" s="2" t="s">
        <v>71</v>
      </c>
      <c r="H13" s="2" t="s">
        <v>76</v>
      </c>
      <c r="I13" s="2" t="s">
        <v>77</v>
      </c>
    </row>
    <row r="14" spans="2:9">
      <c r="B14" s="41" t="s">
        <v>78</v>
      </c>
      <c r="C14" s="41" t="s">
        <v>34</v>
      </c>
      <c r="D14" s="42">
        <v>21224</v>
      </c>
      <c r="E14" s="42">
        <v>3509</v>
      </c>
      <c r="F14" s="42">
        <v>17915</v>
      </c>
      <c r="G14" s="42">
        <v>42648</v>
      </c>
      <c r="H14" s="42">
        <v>52</v>
      </c>
      <c r="I14" s="41" t="s">
        <v>79</v>
      </c>
    </row>
    <row r="15" spans="2:9">
      <c r="B15" s="41" t="s">
        <v>80</v>
      </c>
      <c r="C15" s="41" t="s">
        <v>36</v>
      </c>
      <c r="D15" s="42">
        <v>4349</v>
      </c>
      <c r="E15" s="42">
        <v>1261</v>
      </c>
      <c r="F15" s="42">
        <v>10855</v>
      </c>
      <c r="G15" s="42">
        <v>16465</v>
      </c>
      <c r="H15" s="42">
        <v>13</v>
      </c>
      <c r="I15" s="41" t="s">
        <v>79</v>
      </c>
    </row>
    <row r="16" spans="2:9">
      <c r="B16" s="41" t="s">
        <v>81</v>
      </c>
      <c r="C16" s="41" t="s">
        <v>34</v>
      </c>
      <c r="D16" s="42">
        <v>16949</v>
      </c>
      <c r="E16" s="42">
        <v>3000</v>
      </c>
      <c r="F16" s="42">
        <v>12472</v>
      </c>
      <c r="G16" s="42">
        <v>32421</v>
      </c>
      <c r="H16" s="42">
        <v>40</v>
      </c>
      <c r="I16" s="41" t="s">
        <v>79</v>
      </c>
    </row>
    <row r="17" spans="2:9">
      <c r="B17" s="41" t="s">
        <v>82</v>
      </c>
      <c r="C17" s="41" t="s">
        <v>36</v>
      </c>
      <c r="D17" s="42">
        <v>4209</v>
      </c>
      <c r="E17" s="42">
        <v>1611</v>
      </c>
      <c r="F17" s="42">
        <v>8914</v>
      </c>
      <c r="G17" s="42">
        <v>14734</v>
      </c>
      <c r="H17" s="42">
        <v>12</v>
      </c>
      <c r="I17" s="41" t="s">
        <v>79</v>
      </c>
    </row>
    <row r="18" spans="2:9">
      <c r="B18" s="41" t="s">
        <v>83</v>
      </c>
      <c r="C18" s="41" t="s">
        <v>34</v>
      </c>
      <c r="D18" s="42">
        <v>8157</v>
      </c>
      <c r="E18" s="42">
        <v>955</v>
      </c>
      <c r="F18" s="42">
        <v>8294</v>
      </c>
      <c r="G18" s="42">
        <v>17406</v>
      </c>
      <c r="H18" s="42">
        <v>16</v>
      </c>
      <c r="I18" s="41" t="s">
        <v>79</v>
      </c>
    </row>
    <row r="19" spans="2:9">
      <c r="B19" s="41" t="s">
        <v>84</v>
      </c>
      <c r="C19" s="41" t="s">
        <v>36</v>
      </c>
      <c r="D19" s="42">
        <v>1970</v>
      </c>
      <c r="E19" s="42">
        <v>189</v>
      </c>
      <c r="F19" s="42">
        <v>7560</v>
      </c>
      <c r="G19" s="42">
        <v>9719</v>
      </c>
      <c r="H19" s="42">
        <v>3</v>
      </c>
      <c r="I19" s="41" t="s">
        <v>79</v>
      </c>
    </row>
    <row r="20" spans="2:9">
      <c r="B20" s="41" t="s">
        <v>85</v>
      </c>
      <c r="C20" s="41" t="s">
        <v>34</v>
      </c>
      <c r="D20" s="42">
        <v>1236</v>
      </c>
      <c r="E20" s="42">
        <v>943</v>
      </c>
      <c r="F20" s="42">
        <v>1986</v>
      </c>
      <c r="G20" s="42">
        <v>4165</v>
      </c>
      <c r="H20" s="42">
        <v>5</v>
      </c>
      <c r="I20" s="41" t="s">
        <v>79</v>
      </c>
    </row>
    <row r="21" spans="2:9">
      <c r="B21" s="41" t="s">
        <v>86</v>
      </c>
      <c r="C21" s="41" t="s">
        <v>34</v>
      </c>
      <c r="D21" s="42">
        <v>3519</v>
      </c>
      <c r="E21" s="42">
        <v>1374</v>
      </c>
      <c r="F21" s="42">
        <v>4591</v>
      </c>
      <c r="G21" s="42">
        <v>9484</v>
      </c>
      <c r="H21" s="42">
        <v>6</v>
      </c>
      <c r="I21" s="41" t="s">
        <v>79</v>
      </c>
    </row>
    <row r="22" spans="2:9">
      <c r="B22" s="41" t="s">
        <v>86</v>
      </c>
      <c r="C22" s="41" t="s">
        <v>34</v>
      </c>
      <c r="D22" s="42">
        <v>7559</v>
      </c>
      <c r="E22" s="42">
        <v>3227</v>
      </c>
      <c r="F22" s="42">
        <v>7222</v>
      </c>
      <c r="G22" s="42">
        <v>18008</v>
      </c>
      <c r="H22" s="42">
        <v>16</v>
      </c>
      <c r="I22" s="41" t="s">
        <v>79</v>
      </c>
    </row>
    <row r="23" spans="2:9">
      <c r="B23" s="40"/>
      <c r="C23" s="40"/>
      <c r="D23" s="40"/>
      <c r="E23" s="40"/>
      <c r="F23" s="40"/>
      <c r="G23" s="40"/>
      <c r="H23" s="40"/>
      <c r="I23" s="40"/>
    </row>
    <row r="24" spans="2:9" ht="54" customHeight="1">
      <c r="B24" s="5" t="s">
        <v>87</v>
      </c>
      <c r="C24" s="3"/>
      <c r="D24" s="3"/>
      <c r="E24" s="3"/>
      <c r="F24" s="3"/>
      <c r="G24" s="3"/>
      <c r="H24" s="3"/>
      <c r="I24" s="3"/>
    </row>
    <row r="25" spans="2:9">
      <c r="B25" s="3"/>
      <c r="C25" s="3"/>
      <c r="D25" s="3"/>
      <c r="E25" s="3"/>
      <c r="F25" s="3"/>
      <c r="G25" s="3"/>
      <c r="H25" s="3"/>
      <c r="I25" s="3"/>
    </row>
    <row r="26" spans="2:9">
      <c r="B26" s="3"/>
      <c r="C26" s="3"/>
      <c r="D26" s="3"/>
      <c r="E26" s="3"/>
      <c r="F26" s="3"/>
      <c r="G26" s="3"/>
      <c r="H26" s="3"/>
      <c r="I26" s="3"/>
    </row>
    <row r="27" spans="2:9">
      <c r="B27" s="3"/>
      <c r="C27" s="3"/>
      <c r="D27" s="3"/>
      <c r="E27" s="3"/>
      <c r="F27" s="3"/>
      <c r="G27" s="3"/>
      <c r="H27" s="3"/>
      <c r="I27" s="3"/>
    </row>
  </sheetData>
  <mergeCells count="5">
    <mergeCell ref="B1:I2"/>
    <mergeCell ref="B3:I3"/>
    <mergeCell ref="B5:I5"/>
    <mergeCell ref="B12:I12"/>
    <mergeCell ref="B24:I27"/>
  </mergeCells>
  <pageMargins left="0.7" right="0.7" top="0.75" bottom="0.75" header="0.3" footer="0.3"/>
  <pageSetup paperSize="142" scale="1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18"/>
  <sheetViews>
    <sheetView showGridLines="0" workbookViewId="0">
      <selection activeCell="C6" sqref="C6"/>
    </sheetView>
  </sheetViews>
  <sheetFormatPr defaultRowHeight="13"/>
  <cols>
    <col min="1" max="1" width="2.58203125" style="1" customWidth="1"/>
    <col min="2" max="2" width="18.58203125" style="1" customWidth="1"/>
    <col min="3" max="3" width="28.58203125" style="1" customWidth="1"/>
    <col min="4" max="4" width="65.58203125" style="1" customWidth="1"/>
    <col min="5" max="5" width="55.58203125" style="1" customWidth="1"/>
    <col min="6" max="16384" width="8.6640625" style="1"/>
  </cols>
  <sheetData>
    <row r="1" spans="2:5">
      <c r="B1" s="7" t="s">
        <v>88</v>
      </c>
      <c r="C1" s="7"/>
      <c r="D1" s="7"/>
      <c r="E1" s="7"/>
    </row>
    <row r="2" spans="2:5">
      <c r="B2" s="7"/>
      <c r="C2" s="7"/>
      <c r="D2" s="7"/>
      <c r="E2" s="7"/>
    </row>
    <row r="3" spans="2:5">
      <c r="B3" s="40"/>
      <c r="C3" s="40"/>
      <c r="D3" s="40"/>
      <c r="E3" s="40"/>
    </row>
    <row r="4" spans="2:5" ht="14.5">
      <c r="B4" s="11" t="s">
        <v>89</v>
      </c>
      <c r="C4" s="11"/>
      <c r="D4" s="11"/>
      <c r="E4" s="11"/>
    </row>
    <row r="5" spans="2:5" ht="30" customHeight="1">
      <c r="B5" s="2" t="s">
        <v>5</v>
      </c>
      <c r="C5" s="2" t="s">
        <v>0</v>
      </c>
      <c r="D5" s="2" t="s">
        <v>90</v>
      </c>
      <c r="E5" s="2" t="s">
        <v>91</v>
      </c>
    </row>
    <row r="6" spans="2:5">
      <c r="B6" s="41" t="s">
        <v>92</v>
      </c>
      <c r="C6" s="41" t="s">
        <v>93</v>
      </c>
      <c r="D6" s="41" t="s">
        <v>94</v>
      </c>
      <c r="E6" s="45" t="s">
        <v>95</v>
      </c>
    </row>
    <row r="7" spans="2:5">
      <c r="B7" s="41" t="s">
        <v>96</v>
      </c>
      <c r="C7" s="41" t="s">
        <v>15</v>
      </c>
      <c r="D7" s="41" t="s">
        <v>97</v>
      </c>
      <c r="E7" s="45" t="s">
        <v>98</v>
      </c>
    </row>
    <row r="8" spans="2:5">
      <c r="B8" s="41" t="s">
        <v>96</v>
      </c>
      <c r="C8" s="41" t="s">
        <v>16</v>
      </c>
      <c r="D8" s="41" t="s">
        <v>99</v>
      </c>
      <c r="E8" s="45" t="s">
        <v>100</v>
      </c>
    </row>
    <row r="9" spans="2:5">
      <c r="B9" s="41" t="s">
        <v>96</v>
      </c>
      <c r="C9" s="41" t="s">
        <v>17</v>
      </c>
      <c r="D9" s="41" t="s">
        <v>101</v>
      </c>
      <c r="E9" s="45" t="s">
        <v>100</v>
      </c>
    </row>
    <row r="10" spans="2:5">
      <c r="B10" s="41" t="s">
        <v>96</v>
      </c>
      <c r="C10" s="41" t="s">
        <v>102</v>
      </c>
      <c r="D10" s="41" t="s">
        <v>103</v>
      </c>
      <c r="E10" s="45" t="s">
        <v>104</v>
      </c>
    </row>
    <row r="11" spans="2:5">
      <c r="B11" s="41" t="s">
        <v>105</v>
      </c>
      <c r="C11" s="41" t="s">
        <v>106</v>
      </c>
      <c r="D11" s="41" t="s">
        <v>107</v>
      </c>
      <c r="E11" s="45" t="s">
        <v>108</v>
      </c>
    </row>
    <row r="12" spans="2:5">
      <c r="B12" s="41" t="s">
        <v>105</v>
      </c>
      <c r="C12" s="41" t="s">
        <v>109</v>
      </c>
      <c r="D12" s="41" t="s">
        <v>110</v>
      </c>
      <c r="E12" s="45" t="s">
        <v>108</v>
      </c>
    </row>
    <row r="13" spans="2:5">
      <c r="B13" s="41" t="s">
        <v>105</v>
      </c>
      <c r="C13" s="41" t="s">
        <v>111</v>
      </c>
      <c r="D13" s="41" t="s">
        <v>112</v>
      </c>
      <c r="E13" s="45" t="s">
        <v>113</v>
      </c>
    </row>
    <row r="14" spans="2:5">
      <c r="B14" s="41" t="s">
        <v>3</v>
      </c>
      <c r="C14" s="41" t="s">
        <v>114</v>
      </c>
      <c r="D14" s="41" t="s">
        <v>115</v>
      </c>
      <c r="E14" s="45" t="s">
        <v>113</v>
      </c>
    </row>
    <row r="15" spans="2:5">
      <c r="B15" s="41" t="s">
        <v>116</v>
      </c>
      <c r="C15" s="41" t="s">
        <v>117</v>
      </c>
      <c r="D15" s="41" t="s">
        <v>118</v>
      </c>
      <c r="E15" s="45" t="s">
        <v>119</v>
      </c>
    </row>
    <row r="16" spans="2:5">
      <c r="B16" s="41" t="s">
        <v>116</v>
      </c>
      <c r="C16" s="41" t="s">
        <v>120</v>
      </c>
      <c r="D16" s="41" t="s">
        <v>121</v>
      </c>
      <c r="E16" s="45" t="s">
        <v>122</v>
      </c>
    </row>
    <row r="17" spans="2:5">
      <c r="B17" s="41" t="s">
        <v>123</v>
      </c>
      <c r="C17" s="41" t="s">
        <v>40</v>
      </c>
      <c r="D17" s="41" t="s">
        <v>124</v>
      </c>
      <c r="E17" s="45" t="s">
        <v>100</v>
      </c>
    </row>
    <row r="18" spans="2:5">
      <c r="B18" s="41" t="s">
        <v>125</v>
      </c>
      <c r="C18" s="41" t="s">
        <v>126</v>
      </c>
      <c r="D18" s="41" t="s">
        <v>127</v>
      </c>
      <c r="E18" s="45" t="s">
        <v>128</v>
      </c>
    </row>
  </sheetData>
  <mergeCells count="2">
    <mergeCell ref="B1:E2"/>
    <mergeCell ref="B4:E4"/>
  </mergeCells>
  <pageMargins left="0.7" right="0.7" top="0.75" bottom="0.75" header="0.3" footer="0.3"/>
  <pageSetup paperSize="142" scale="1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Cost Calculator</vt:lpstr>
      <vt:lpstr>Run Evidence</vt:lpstr>
      <vt:lpstr>Definitions</vt:lpstr>
      <vt:lpstr>'Cost Calculator'!Print_Area</vt:lpstr>
      <vt:lpstr>Definitions!Print_Area</vt:lpstr>
      <vt:lpstr>'Run Evidence'!Print_Area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Sendi, Razan</dc:creator>
  <cp:lastModifiedBy>حنان بنت سعود بن ابراهيم بن عياد العصيمي</cp:lastModifiedBy>
  <dcterms:created xsi:type="dcterms:W3CDTF">2026-07-19T15:11:36Z</dcterms:created>
  <dcterms:modified xsi:type="dcterms:W3CDTF">2026-07-21T05:55:17Z</dcterms:modified>
</cp:coreProperties>
</file>