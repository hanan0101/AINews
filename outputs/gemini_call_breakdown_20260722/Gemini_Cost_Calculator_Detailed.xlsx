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AINewsletter_v0.2\outputs\gemini_call_breakdown_20260722\"/>
    </mc:Choice>
  </mc:AlternateContent>
  <xr:revisionPtr revIDLastSave="0" documentId="13_ncr:1_{6D172C22-366B-451C-B66C-12049E38F9DD}" xr6:coauthVersionLast="47" xr6:coauthVersionMax="47" xr10:uidLastSave="{00000000-0000-0000-0000-000000000000}"/>
  <bookViews>
    <workbookView xWindow="1360" yWindow="360" windowWidth="10890" windowHeight="9720" activeTab="1" xr2:uid="{00000000-000D-0000-FFFF-FFFF00000000}"/>
  </bookViews>
  <sheets>
    <sheet name="Cost Calculator" sheetId="1" r:id="rId1"/>
    <sheet name="Call Breakdown" sheetId="4" r:id="rId2"/>
    <sheet name="Run Evidence" sheetId="3" r:id="rId3"/>
    <sheet name="Definitions" sheetId="2" r:id="rId4"/>
  </sheets>
  <definedNames>
    <definedName name="_xlnm._FilterDatabase" localSheetId="1" hidden="1">'Call Breakdown'!$B$5:$P$21</definedName>
    <definedName name="_xlnm.Print_Area" localSheetId="0">'Cost Calculator'!$B$1:$K$42</definedName>
    <definedName name="_xlnm.Print_Area" localSheetId="3">Definitions!$B$1:$E$18</definedName>
    <definedName name="_xlnm.Print_Area" localSheetId="2">'Run Evidence'!$B$1:$I$27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4" l="1"/>
  <c r="C27" i="4"/>
  <c r="C26" i="4"/>
  <c r="C29" i="4" s="1"/>
  <c r="K22" i="4"/>
  <c r="J22" i="4"/>
  <c r="H22" i="4"/>
  <c r="N21" i="4"/>
  <c r="M21" i="4"/>
  <c r="L21" i="4"/>
  <c r="N20" i="4"/>
  <c r="M20" i="4"/>
  <c r="L20" i="4"/>
  <c r="I20" i="4"/>
  <c r="O20" i="4" s="1"/>
  <c r="O19" i="4"/>
  <c r="N19" i="4"/>
  <c r="M19" i="4"/>
  <c r="L19" i="4"/>
  <c r="N18" i="4"/>
  <c r="M18" i="4"/>
  <c r="L18" i="4"/>
  <c r="I18" i="4"/>
  <c r="O18" i="4" s="1"/>
  <c r="N17" i="4"/>
  <c r="M17" i="4"/>
  <c r="O17" i="4" s="1"/>
  <c r="L17" i="4"/>
  <c r="L22" i="4" s="1"/>
  <c r="N16" i="4"/>
  <c r="M16" i="4"/>
  <c r="L16" i="4"/>
  <c r="I16" i="4"/>
  <c r="N15" i="4"/>
  <c r="M15" i="4"/>
  <c r="O15" i="4" s="1"/>
  <c r="L15" i="4"/>
  <c r="N14" i="4"/>
  <c r="M14" i="4"/>
  <c r="L14" i="4"/>
  <c r="I14" i="4"/>
  <c r="O14" i="4" s="1"/>
  <c r="N13" i="4"/>
  <c r="M13" i="4"/>
  <c r="L13" i="4"/>
  <c r="I13" i="4"/>
  <c r="N12" i="4"/>
  <c r="M12" i="4"/>
  <c r="O12" i="4" s="1"/>
  <c r="L12" i="4"/>
  <c r="N11" i="4"/>
  <c r="M11" i="4"/>
  <c r="O11" i="4" s="1"/>
  <c r="L11" i="4"/>
  <c r="N10" i="4"/>
  <c r="O10" i="4" s="1"/>
  <c r="M10" i="4"/>
  <c r="L10" i="4"/>
  <c r="N9" i="4"/>
  <c r="M9" i="4"/>
  <c r="O9" i="4" s="1"/>
  <c r="L9" i="4"/>
  <c r="N8" i="4"/>
  <c r="M8" i="4"/>
  <c r="O8" i="4" s="1"/>
  <c r="O27" i="4" s="1"/>
  <c r="L8" i="4"/>
  <c r="N7" i="4"/>
  <c r="M7" i="4"/>
  <c r="O7" i="4" s="1"/>
  <c r="O26" i="4" s="1"/>
  <c r="L7" i="4"/>
  <c r="N6" i="4"/>
  <c r="M6" i="4"/>
  <c r="L6" i="4"/>
  <c r="I6" i="4"/>
  <c r="C20" i="1"/>
  <c r="H14" i="1"/>
  <c r="K14" i="1" s="1"/>
  <c r="K17" i="1" s="1"/>
  <c r="H10" i="3"/>
  <c r="G10" i="3"/>
  <c r="F10" i="3"/>
  <c r="E10" i="3"/>
  <c r="D10" i="3"/>
  <c r="C10" i="3"/>
  <c r="G17" i="1"/>
  <c r="F17" i="1"/>
  <c r="E17" i="1"/>
  <c r="D17" i="1"/>
  <c r="H15" i="1"/>
  <c r="K15" i="1" s="1"/>
  <c r="H16" i="1"/>
  <c r="K16" i="1" s="1"/>
  <c r="E8" i="1"/>
  <c r="E9" i="1"/>
  <c r="E7" i="1"/>
  <c r="O16" i="4" l="1"/>
  <c r="O13" i="4"/>
  <c r="O6" i="4"/>
  <c r="I21" i="4"/>
  <c r="H17" i="1"/>
  <c r="G8" i="1"/>
  <c r="H25" i="1" s="1"/>
  <c r="F8" i="1"/>
  <c r="G25" i="1" s="1"/>
  <c r="F25" i="1"/>
  <c r="F26" i="1"/>
  <c r="F9" i="1"/>
  <c r="G26" i="1" s="1"/>
  <c r="G9" i="1"/>
  <c r="H26" i="1" s="1"/>
  <c r="F7" i="1"/>
  <c r="F24" i="1"/>
  <c r="E10" i="1"/>
  <c r="G7" i="1"/>
  <c r="O22" i="4" l="1"/>
  <c r="O28" i="4"/>
  <c r="O29" i="4" s="1"/>
  <c r="O21" i="4"/>
  <c r="I22" i="4"/>
  <c r="C25" i="1"/>
  <c r="C27" i="1"/>
  <c r="C29" i="1"/>
  <c r="I24" i="1"/>
  <c r="I25" i="1"/>
  <c r="J26" i="1"/>
  <c r="K25" i="1"/>
  <c r="N25" i="1" s="1"/>
  <c r="C24" i="1"/>
  <c r="C28" i="1"/>
  <c r="C30" i="1"/>
  <c r="I26" i="1"/>
  <c r="J25" i="1"/>
  <c r="K26" i="1"/>
  <c r="N26" i="1" s="1"/>
  <c r="F10" i="1"/>
  <c r="C26" i="1" s="1"/>
  <c r="G24" i="1"/>
  <c r="J24" i="1" s="1"/>
  <c r="G10" i="1"/>
  <c r="H24" i="1"/>
  <c r="K24" i="1" s="1"/>
  <c r="N24" i="1" s="1"/>
</calcChain>
</file>

<file path=xl/sharedStrings.xml><?xml version="1.0" encoding="utf-8"?>
<sst xmlns="http://schemas.openxmlformats.org/spreadsheetml/2006/main" count="311" uniqueCount="208">
  <si>
    <t>Attribute</t>
  </si>
  <si>
    <t>Notes</t>
  </si>
  <si>
    <t>Calls</t>
  </si>
  <si>
    <t>Tokens</t>
  </si>
  <si>
    <t>Cost Metric</t>
  </si>
  <si>
    <t>Group</t>
  </si>
  <si>
    <t>AI Newsletter - Gemini Cost Calculation</t>
  </si>
  <si>
    <t>Gemini only | Production: one admin weekly | Developer tests | Failed admin attempts</t>
  </si>
  <si>
    <t>1. WEEKLY USAGE ASSUMPTIONS - EDIT YELLOW CELLS</t>
  </si>
  <si>
    <t>Scenario / Actor</t>
  </si>
  <si>
    <t>Runs per Week</t>
  </si>
  <si>
    <t>Full-Run Equivalent</t>
  </si>
  <si>
    <t>Equivalent Runs / Week</t>
  </si>
  <si>
    <t>Equivalent Runs / Month</t>
  </si>
  <si>
    <t>Equivalent Runs / Year</t>
  </si>
  <si>
    <t>Admin weekly generation</t>
  </si>
  <si>
    <t>Developer testing</t>
  </si>
  <si>
    <t>Admin failed attempts</t>
  </si>
  <si>
    <t>One full Generate run each week by the admin</t>
  </si>
  <si>
    <t>Two focused tests; each assumed at 25% of a full run</t>
  </si>
  <si>
    <t>One failed/retried admin attempt; assumed to consume 50% of a full run</t>
  </si>
  <si>
    <t>Total equivalent usage</t>
  </si>
  <si>
    <t>2. GEMINI MODEL USAGE PER FULL SUCCESSFUL RUN</t>
  </si>
  <si>
    <t>Role</t>
  </si>
  <si>
    <t>Gemini Model</t>
  </si>
  <si>
    <t>Calls / Run</t>
  </si>
  <si>
    <t>Input Tokens / Run</t>
  </si>
  <si>
    <t>Visible Output Tokens</t>
  </si>
  <si>
    <t>Thinking Tokens</t>
  </si>
  <si>
    <t>Billed Output Tokens</t>
  </si>
  <si>
    <t>Input $ / 1M</t>
  </si>
  <si>
    <t>Output $ / 1M</t>
  </si>
  <si>
    <t>Cost / Full Run</t>
  </si>
  <si>
    <t>Selection + supporting</t>
  </si>
  <si>
    <t>gemini-flash-latest</t>
  </si>
  <si>
    <t>Arabic rewrite</t>
  </si>
  <si>
    <t>gemini-3.1-pro-preview</t>
  </si>
  <si>
    <t>Semantic memory</t>
  </si>
  <si>
    <t>gemini-embedding-001</t>
  </si>
  <si>
    <t>Total per full-equivalent run</t>
  </si>
  <si>
    <t>Usage buffer</t>
  </si>
  <si>
    <t>Daily request tracker</t>
  </si>
  <si>
    <t>3. COST SUMMARY</t>
  </si>
  <si>
    <t>Calculated Cost</t>
  </si>
  <si>
    <t>Cost per full-equivalent run</t>
  </si>
  <si>
    <t>Weekly cost incl. buffer</t>
  </si>
  <si>
    <t>Monthly recurring cost incl. buffer</t>
  </si>
  <si>
    <t>Annual recurring cost incl. buffer</t>
  </si>
  <si>
    <t>Admin weekly generation - annual</t>
  </si>
  <si>
    <t>Developer testing - annual</t>
  </si>
  <si>
    <t>Admin failed attempts - annual</t>
  </si>
  <si>
    <t>Scenario</t>
  </si>
  <si>
    <t>Weekly Eq.</t>
  </si>
  <si>
    <t>Monthly Eq.</t>
  </si>
  <si>
    <t>Annual Eq.</t>
  </si>
  <si>
    <t>Weekly Cost</t>
  </si>
  <si>
    <t>Monthly Cost</t>
  </si>
  <si>
    <t>Annual Cost</t>
  </si>
  <si>
    <t>Scope: Gemini API costs only. Excludes Exa, SearXNG hosting, Docker/servers, databases, storage, networking, and developer labor. End users reading the newsletter do not trigger Gemini; only admin generation, developer tests, and failed admin attempts are modeled.</t>
  </si>
  <si>
    <t>Measured Gemini Usage - Baseline Run</t>
  </si>
  <si>
    <t>Source run: full-20260720T112453Z-fe7ccc2e | Successful full pipeline | 18 selected news items</t>
  </si>
  <si>
    <t>ACTUAL TOKEN USAGE FROM MODEL.TOKEN_USAGE EVENTS</t>
  </si>
  <si>
    <t>Model</t>
  </si>
  <si>
    <t>Input Tokens</t>
  </si>
  <si>
    <t>Visible Output</t>
  </si>
  <si>
    <t>Billed Output</t>
  </si>
  <si>
    <t>Total Tokens</t>
  </si>
  <si>
    <t>Selection, top-ups, courses and movies</t>
  </si>
  <si>
    <t>Arabic rewrite calls</t>
  </si>
  <si>
    <t>Estimated token volume; 7 calls inferred from 16 total requests minus 9 generation calls</t>
  </si>
  <si>
    <t>Total</t>
  </si>
  <si>
    <t>STAGE DETAIL</t>
  </si>
  <si>
    <t>Stage</t>
  </si>
  <si>
    <t>Input</t>
  </si>
  <si>
    <t>Thinking</t>
  </si>
  <si>
    <t>Candidates</t>
  </si>
  <si>
    <t>Status</t>
  </si>
  <si>
    <t>primary</t>
  </si>
  <si>
    <t>Success</t>
  </si>
  <si>
    <t>primary_rewrite</t>
  </si>
  <si>
    <t>topup_1</t>
  </si>
  <si>
    <t>topup_1_rewrite</t>
  </si>
  <si>
    <t>topup_2</t>
  </si>
  <si>
    <t>topup_2_rewrite</t>
  </si>
  <si>
    <t>supporting_movie</t>
  </si>
  <si>
    <t>supporting_course</t>
  </si>
  <si>
    <t>Why thinking is included: Gemini prices model output including thinking tokens. The visible response alone materially understates cost in this workload. Embedding tokens are estimated because the SDK usage state records embedded item count rather than token count.</t>
  </si>
  <si>
    <t>Definitions, Assumptions &amp; Sources</t>
  </si>
  <si>
    <t>MODEL SCOPE</t>
  </si>
  <si>
    <t>Definition / Assumption</t>
  </si>
  <si>
    <t>Source</t>
  </si>
  <si>
    <t>Scope</t>
  </si>
  <si>
    <t>Provider</t>
  </si>
  <si>
    <t>Gemini only. OpenAI is excluded from every calculation.</t>
  </si>
  <si>
    <t>Project configuration</t>
  </si>
  <si>
    <t>Usage</t>
  </si>
  <si>
    <t>One successful full Generate run per week by one admin.</t>
  </si>
  <si>
    <t>User requirement</t>
  </si>
  <si>
    <t>Two tests per week, each modeled as 25% of a full run. Editable.</t>
  </si>
  <si>
    <t>Planning assumption</t>
  </si>
  <si>
    <t>One failed/retried attempt per week, modeled as 50% of a full run. Editable.</t>
  </si>
  <si>
    <t>End users</t>
  </si>
  <si>
    <t>Newsletter readers do not invoke Gemini and therefore add no model cost.</t>
  </si>
  <si>
    <t>System authorization flow</t>
  </si>
  <si>
    <t>Pricing</t>
  </si>
  <si>
    <t>Gemini Flash alias</t>
  </si>
  <si>
    <t>Priced as Gemini 3 Flash Preview: $0.50 input and $3.00 output per 1M tokens.</t>
  </si>
  <si>
    <t>https://ai.google.dev/gemini-api/docs/gemini-3</t>
  </si>
  <si>
    <t>Gemini 3.1 Pro Preview</t>
  </si>
  <si>
    <t>$2.00 input and $12.00 output per 1M tokens below 200k input tokens.</t>
  </si>
  <si>
    <t>Gemini Embedding 001</t>
  </si>
  <si>
    <t>$0.15 per 1M input tokens under Standard paid pricing.</t>
  </si>
  <si>
    <t>https://ai.google.dev/gemini-api/docs/pricing</t>
  </si>
  <si>
    <t>Billed output</t>
  </si>
  <si>
    <t>Visible output tokens plus thinking tokens.</t>
  </si>
  <si>
    <t>Baseline</t>
  </si>
  <si>
    <t>Measured run</t>
  </si>
  <si>
    <t>Actual token usage from successful run full-20260720T112453Z-fe7ccc2e.</t>
  </si>
  <si>
    <t>Local RUNLOG model.token_usage events</t>
  </si>
  <si>
    <t>Embedding volume</t>
  </si>
  <si>
    <t>25,000 tokens per full run estimated from semantic checks and saves; editable.</t>
  </si>
  <si>
    <t>Project semantic memory flow</t>
  </si>
  <si>
    <t>Risk</t>
  </si>
  <si>
    <t>20% allowance for retries, variance and larger runs. Editable.</t>
  </si>
  <si>
    <t>Exclusions</t>
  </si>
  <si>
    <t>Non-Gemini costs</t>
  </si>
  <si>
    <t>Exa, infrastructure, databases, storage, network and labor are excluded.</t>
  </si>
  <si>
    <t>Workbook scope</t>
  </si>
  <si>
    <t>gemini-3.5-flash</t>
  </si>
  <si>
    <t>Rates supplied for the approved Gemini-only cost model. Runtime evidence used the gemini-flash-latest alias; this workbook costs those measured tokens as gemini-3.5-flash.</t>
  </si>
  <si>
    <t>Detailed 16-call trace</t>
  </si>
  <si>
    <t>CALL-BY-CALL BREAKDOWN — WHY THE FULL RUN USES 16 GEMINI REQUESTS</t>
  </si>
  <si>
    <t>كل صف أدناه هو طلب مستقل إلى Gemini في الرن الناجح. رقم الطلب يطابق ترتيب الحصة الفعلي من 1 إلى 16.</t>
  </si>
  <si>
    <t>مهم: توكنات التوليد مقاسة من model.token_usage. Gemini Embedding سجّل عدد النصوص فقط، لذلك وُزّعت فرضية 25,000 توكن نسبيًا حسب عدد النصوص؛ الإجمالي والتكلفة محفوظان كما في الملخص.</t>
  </si>
  <si>
    <t>Request # / رقم الطلب</t>
  </si>
  <si>
    <t>Role / الفئة</t>
  </si>
  <si>
    <t>Costed Gemini Model</t>
  </si>
  <si>
    <t>Stage / المرحلة</t>
  </si>
  <si>
    <t>Why this call? / لماذا؟</t>
  </si>
  <si>
    <t>Trigger / ما الذي شغّله؟</t>
  </si>
  <si>
    <t>Items / Texts</t>
  </si>
  <si>
    <t>Cost / Call</t>
  </si>
  <si>
    <t>Evidence / ملاحظة</t>
  </si>
  <si>
    <t>news_semantic_filter</t>
  </si>
  <si>
    <t>يفحص تشابه الأخبار مع ذاكرة Qdrant ويمنع تكرار قصة قديمة أو تكرارًا داخل الرن نفسه.</t>
  </si>
  <si>
    <t>قبل أول اختيار للأخبار.</t>
  </si>
  <si>
    <t>32 semantic decisions before primary.</t>
  </si>
  <si>
    <t>الاختيار الأساسي: يقرأ المرشحين ويرتّبهم ويختار الدفعة الأولى من أخبار النشرة.</t>
  </si>
  <si>
    <t>بداية مرحلة اختيار الأخبار؛ ليس Retry.</t>
  </si>
  <si>
    <t>Runtime alias: gemini-flash-latest.</t>
  </si>
  <si>
    <t>يعيد كتابة الأخبار التي اختارها Flash بالعربية وبصيغة البطاقة النهائية.</t>
  </si>
  <si>
    <t>Flash اختار 13 خبرًا في الدفعة الأساسية.</t>
  </si>
  <si>
    <t>Measured model.token_usage.</t>
  </si>
  <si>
    <t>تعويض أول لأن الدفعة الأساسية وحدها لم تكمل العدد المطلوب بعد التحقق والاستبعاد.</t>
  </si>
  <si>
    <t>بقي نقص؛ أُرسلت مجموعة من المرشحين المتبقين.</t>
  </si>
  <si>
    <t>Top-up is expected conditional pipeline work.</t>
  </si>
  <si>
    <t>يعيد كتابة أخبار التعويض الأول بالعربية بعد اعتمادها.</t>
  </si>
  <si>
    <t>Top-up 1 أعاد 12 خبرًا مقبولًا لإعادة الصياغة.</t>
  </si>
  <si>
    <t>تعويض ثانٍ لأن العدد ظل ناقصًا بعد التعويض الأول.</t>
  </si>
  <si>
    <t>بقي نقص آخر؛ أُرسلت آخر مجموعة مناسبة من المرشحين.</t>
  </si>
  <si>
    <t>Second conditional top-up.</t>
  </si>
  <si>
    <t>يعيد كتابة أخبار التعويض الثاني بالعربية لإضافتها إلى الناتج النهائي.</t>
  </si>
  <si>
    <t>Top-up 2 أعاد 3 أخبار مقبولة.</t>
  </si>
  <si>
    <t>news_memory_save</t>
  </si>
  <si>
    <t>يحوّل الأخبار النهائية إلى Embeddings ويحفظها حتى لا تتكرر في الأسابيع القادمة.</t>
  </si>
  <si>
    <t>بعد نجاح اختيار وإعادة كتابة 18 خبرًا.</t>
  </si>
  <si>
    <t>News save occurs after request 7 and before supporting selection.</t>
  </si>
  <si>
    <t>movie_semantic_filter</t>
  </si>
  <si>
    <t>يفحص الأفلام المرشحة ضد الذاكرة الدلالية قبل إرسالها إلى موديل الاختيار.</t>
  </si>
  <si>
    <t>بدء مسار الأفلام الداعمة.</t>
  </si>
  <si>
    <t>5 movie semantic decisions before request 10.</t>
  </si>
  <si>
    <t>يختار ويصيغ بطاقات الأفلام الداعمة من المرشحين المقبولين.</t>
  </si>
  <si>
    <t>انتهى فلتر الأفلام وبقي 5 مرشحين.</t>
  </si>
  <si>
    <t>course_semantic_filter</t>
  </si>
  <si>
    <t>يفحص دفعة الكورسات الأولى ضد الذاكرة ويمنع تكرار كورس ظاهر أو قديم.</t>
  </si>
  <si>
    <t>بدء مسار الكورسات الداعمة.</t>
  </si>
  <si>
    <t>6 course semantic decisions before request 12.</t>
  </si>
  <si>
    <t>يحاول اختيار وصياغة بطاقات الكورسات من الدفعة الأولى.</t>
  </si>
  <si>
    <t>انتهى فلتر الدفعة الأولى وبقي 6 مرشحين.</t>
  </si>
  <si>
    <t>The result did not fill the required course display count.</t>
  </si>
  <si>
    <t>course_quick_fetch_filter</t>
  </si>
  <si>
    <t>يفحص مرشحي Quick Fetch للكورسات؛ هذا الفحص منفصل لأن النظام جلب دفعة إضافية.</t>
  </si>
  <si>
    <t>الاستدعاء 12 لم يكمل العدد المطلوب، فبدأ Quick Fetch.</t>
  </si>
  <si>
    <t>12 bounded semantic checks in the combined quick-fetch pool.</t>
  </si>
  <si>
    <t>supporting_course_quick</t>
  </si>
  <si>
    <t>يختار كورسات إضافية من الدفعة الموسعة لإكمال بنك/عرض الكورسات.</t>
  </si>
  <si>
    <t>Quick Fetch جهّز 16 مرشحًا للموديل.</t>
  </si>
  <si>
    <t>Second course call is a refill, not a duplicate of request 12.</t>
  </si>
  <si>
    <t>course_memory_save</t>
  </si>
  <si>
    <t>يحفظ الكورسات الظاهرة فقط في الذاكرة الدلالية حتى لا تعود في رن لاحق.</t>
  </si>
  <si>
    <t>بعد اعتماد بطاقات الكورسات النهائية.</t>
  </si>
  <si>
    <t>Code saves visible_course_cards only.</t>
  </si>
  <si>
    <t>movie_memory_save</t>
  </si>
  <si>
    <t>يحفظ الأفلام الظاهرة فقط في الذاكرة الدلالية حتى لا تتكرر مستقبلًا.</t>
  </si>
  <si>
    <t>بعد اعتماد بطاقات الأفلام النهائية.</t>
  </si>
  <si>
    <t>Final quota request; code saves visible_movie_cards only.</t>
  </si>
  <si>
    <t>TOTAL</t>
  </si>
  <si>
    <t>16 requests</t>
  </si>
  <si>
    <t>WHY THE COUNTS ARE 6 + 3 + 7 / لماذا الأعداد 6 + 3 + 7؟</t>
  </si>
  <si>
    <t>Exact breakdown / التفصيل</t>
  </si>
  <si>
    <t>Why repeated / سبب التكرار</t>
  </si>
  <si>
    <t>primary + topup_1 + topup_2 + movie + course + course quick fetch</t>
  </si>
  <si>
    <t>3 لاختيار الأخبار، 1 للأفلام، و2 للكورسات لأن الدفعة الأولى لم تكمل العدد.</t>
  </si>
  <si>
    <t>primary_rewrite + topup_1_rewrite + topup_2_rewrite</t>
  </si>
  <si>
    <t>كل دفعة أخبار مختارة تحتاج إعادة صياغة عربية مستقلة؛ لذلك تقابل 3 دفعات اختيار.</t>
  </si>
  <si>
    <t>news check + news save + movie check + course check + course quick check + course save + movie save</t>
  </si>
  <si>
    <t>فحص قبل الاختيار وحفظ بعد الاعتماد لكل نوع محتوى، مع فحص إضافي لدفعة Quick Fetch.</t>
  </si>
  <si>
    <t>6 + 3 + 7 = 16 independent Gemini requests in the measured successful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</si>
</sst>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6">
    <font>
      <sz val="11"/>
      <name val="Carlito"/>
    </font>
    <font>
      <sz val="10"/>
      <name val="Aptos"/>
      <family val="2"/>
    </font>
    <font>
      <b/>
      <sz val="10"/>
      <color rgb="FFFFFFFF"/>
      <name val="Aptos"/>
      <family val="2"/>
    </font>
    <font>
      <b/>
      <sz val="18"/>
      <color rgb="FFFFFFFF"/>
      <name val="Aptos"/>
      <family val="2"/>
    </font>
    <font>
      <i/>
      <sz val="10"/>
      <name val="Aptos"/>
      <family val="2"/>
    </font>
    <font>
      <i/>
      <sz val="10"/>
      <color rgb="FF2D2D2D"/>
      <name val="Aptos"/>
      <family val="2"/>
    </font>
    <font>
      <b/>
      <sz val="11"/>
      <color rgb="FFFFFFFF"/>
      <name val="Aptos"/>
      <family val="2"/>
    </font>
    <font>
      <b/>
      <sz val="10"/>
      <color rgb="FF2D2D2D"/>
      <name val="Aptos"/>
      <family val="2"/>
    </font>
    <font>
      <b/>
      <sz val="10"/>
      <name val="Aptos"/>
      <family val="2"/>
    </font>
    <font>
      <sz val="10"/>
      <color rgb="FF2573A9"/>
      <name val="Aptos"/>
      <family val="2"/>
    </font>
    <font>
      <sz val="10"/>
      <color rgb="FF28624F"/>
      <name val="Aptos"/>
      <family val="2"/>
    </font>
    <font>
      <u/>
      <sz val="11"/>
      <color theme="10"/>
      <name val="Carlito"/>
    </font>
    <font>
      <u/>
      <sz val="11"/>
      <color rgb="FF0563C1"/>
      <name val="Carlito"/>
    </font>
    <font>
      <b/>
      <sz val="11"/>
      <color rgb="FFFFFFFF"/>
      <name val="Carlito"/>
    </font>
    <font>
      <b/>
      <sz val="16"/>
      <color rgb="FFFFFFFF"/>
      <name val="Carlito"/>
    </font>
    <font>
      <b/>
      <sz val="11"/>
      <name val="Carlito"/>
    </font>
  </fonts>
  <fills count="15">
    <fill>
      <patternFill patternType="none"/>
    </fill>
    <fill>
      <patternFill patternType="gray125"/>
    </fill>
    <fill>
      <patternFill patternType="solid">
        <fgColor rgb="FF163F6B"/>
        <bgColor indexed="64"/>
      </patternFill>
    </fill>
    <fill>
      <patternFill patternType="solid">
        <fgColor rgb="FF2573A9"/>
        <bgColor indexed="64"/>
      </patternFill>
    </fill>
    <fill>
      <patternFill patternType="solid">
        <fgColor rgb="FFCBDCEE"/>
        <bgColor indexed="64"/>
      </patternFill>
    </fill>
    <fill>
      <patternFill patternType="solid">
        <fgColor rgb="FFDCF0E9"/>
        <bgColor indexed="64"/>
      </patternFill>
    </fill>
    <fill>
      <patternFill patternType="solid">
        <fgColor rgb="FFFFF2D9"/>
        <bgColor indexed="64"/>
      </patternFill>
    </fill>
    <fill>
      <patternFill patternType="solid">
        <fgColor rgb="FF206B8B"/>
        <bgColor indexed="64"/>
      </patternFill>
    </fill>
    <fill>
      <patternFill patternType="solid">
        <fgColor rgb="FFF2F2F2"/>
        <bgColor indexed="64"/>
      </patternFill>
    </fill>
    <fill>
      <patternFill patternType="solid">
        <fgColor rgb="FFDDEBF7"/>
        <bgColor indexed="64"/>
      </patternFill>
    </fill>
    <fill>
      <patternFill patternType="solid">
        <fgColor rgb="FF1F4E79"/>
        <bgColor indexed="64"/>
      </patternFill>
    </fill>
    <fill>
      <patternFill patternType="solid">
        <fgColor rgb="FFFFF2CC"/>
        <bgColor indexed="64"/>
      </patternFill>
    </fill>
    <fill>
      <patternFill patternType="solid">
        <fgColor rgb="FFF2F7FC"/>
        <bgColor indexed="64"/>
      </patternFill>
    </fill>
    <fill>
      <patternFill patternType="solid">
        <fgColor rgb="FF5B9BD5"/>
        <bgColor indexed="64"/>
      </patternFill>
    </fill>
    <fill>
      <patternFill patternType="solid">
        <fgColor rgb="FFE2EFDA"/>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5">
    <xf numFmtId="0" fontId="0" fillId="0" borderId="0" xfId="0"/>
    <xf numFmtId="0" fontId="1" fillId="0" borderId="0" xfId="0" applyFont="1"/>
    <xf numFmtId="0" fontId="7" fillId="4" borderId="1" xfId="0" applyFont="1" applyFill="1" applyBorder="1" applyAlignment="1">
      <alignment horizontal="center" vertical="center" wrapText="1"/>
    </xf>
    <xf numFmtId="0" fontId="1" fillId="0" borderId="0" xfId="0" applyFont="1" applyAlignment="1">
      <alignment wrapText="1"/>
    </xf>
    <xf numFmtId="165" fontId="1" fillId="0" borderId="0" xfId="0" applyNumberFormat="1" applyFont="1"/>
    <xf numFmtId="0" fontId="1" fillId="0" borderId="0" xfId="0" applyFont="1" applyAlignment="1">
      <alignment vertical="center" wrapText="1"/>
    </xf>
    <xf numFmtId="0" fontId="1" fillId="0" borderId="1" xfId="0" applyFont="1" applyBorder="1" applyAlignment="1">
      <alignment horizontal="left" vertical="center" wrapText="1"/>
    </xf>
    <xf numFmtId="0" fontId="8" fillId="5" borderId="1" xfId="0" applyFont="1" applyFill="1" applyBorder="1" applyAlignment="1">
      <alignment horizontal="left" vertical="center" wrapText="1"/>
    </xf>
    <xf numFmtId="0" fontId="1" fillId="0" borderId="0" xfId="0" applyFont="1" applyAlignment="1">
      <alignment horizontal="left" vertical="center" wrapText="1"/>
    </xf>
    <xf numFmtId="0" fontId="7" fillId="4"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9" fillId="6" borderId="1" xfId="0" applyFont="1" applyFill="1" applyBorder="1" applyAlignment="1">
      <alignment horizontal="right" vertical="center" wrapText="1"/>
    </xf>
    <xf numFmtId="9" fontId="9" fillId="6" borderId="1" xfId="0" applyNumberFormat="1" applyFont="1" applyFill="1" applyBorder="1" applyAlignment="1">
      <alignment horizontal="right" vertical="center" wrapText="1"/>
    </xf>
    <xf numFmtId="2" fontId="1" fillId="0" borderId="1" xfId="0" applyNumberFormat="1" applyFont="1" applyBorder="1" applyAlignment="1">
      <alignment horizontal="right" vertical="center" wrapText="1"/>
    </xf>
    <xf numFmtId="0" fontId="1" fillId="0" borderId="1" xfId="0" applyFont="1" applyBorder="1" applyAlignment="1">
      <alignment horizontal="right" vertical="center" wrapText="1"/>
    </xf>
    <xf numFmtId="0" fontId="1" fillId="0" borderId="0" xfId="0" applyFont="1" applyAlignment="1">
      <alignment horizontal="right" vertical="center" wrapText="1"/>
    </xf>
    <xf numFmtId="0" fontId="8" fillId="5" borderId="1" xfId="0" applyFont="1" applyFill="1" applyBorder="1" applyAlignment="1">
      <alignment horizontal="right" vertical="center" wrapText="1"/>
    </xf>
    <xf numFmtId="2" fontId="8" fillId="5" borderId="1" xfId="0" applyNumberFormat="1" applyFont="1" applyFill="1" applyBorder="1" applyAlignment="1">
      <alignment horizontal="right" vertical="center" wrapText="1"/>
    </xf>
    <xf numFmtId="0" fontId="7" fillId="4" borderId="1" xfId="0" applyFont="1" applyFill="1" applyBorder="1" applyAlignment="1">
      <alignment horizontal="right" vertical="center" wrapText="1"/>
    </xf>
    <xf numFmtId="3" fontId="9" fillId="6" borderId="1" xfId="0" applyNumberFormat="1" applyFont="1" applyFill="1" applyBorder="1" applyAlignment="1">
      <alignment horizontal="right" vertical="center" wrapText="1"/>
    </xf>
    <xf numFmtId="164" fontId="9" fillId="6" borderId="1" xfId="0" applyNumberFormat="1" applyFont="1" applyFill="1" applyBorder="1" applyAlignment="1">
      <alignment horizontal="right" vertical="center" wrapText="1"/>
    </xf>
    <xf numFmtId="164" fontId="1" fillId="0" borderId="1" xfId="0" applyNumberFormat="1" applyFont="1" applyBorder="1" applyAlignment="1">
      <alignment horizontal="right" vertical="center" wrapText="1"/>
    </xf>
    <xf numFmtId="3" fontId="8" fillId="5" borderId="1" xfId="0" applyNumberFormat="1" applyFont="1" applyFill="1" applyBorder="1" applyAlignment="1">
      <alignment horizontal="right" vertical="center" wrapText="1"/>
    </xf>
    <xf numFmtId="164" fontId="8" fillId="5" borderId="1" xfId="0" applyNumberFormat="1" applyFont="1" applyFill="1" applyBorder="1" applyAlignment="1">
      <alignment horizontal="right" vertical="center" wrapText="1"/>
    </xf>
    <xf numFmtId="9" fontId="9" fillId="6" borderId="0" xfId="0" applyNumberFormat="1" applyFont="1" applyFill="1" applyAlignment="1">
      <alignment horizontal="right" vertical="center" wrapText="1"/>
    </xf>
    <xf numFmtId="0" fontId="1" fillId="6" borderId="0" xfId="0" applyFont="1" applyFill="1" applyAlignment="1">
      <alignment horizontal="right" vertical="center" wrapText="1"/>
    </xf>
    <xf numFmtId="165" fontId="1" fillId="0" borderId="1" xfId="0" applyNumberFormat="1" applyFont="1" applyBorder="1" applyAlignment="1">
      <alignment horizontal="right" vertical="center" wrapText="1"/>
    </xf>
    <xf numFmtId="165" fontId="2" fillId="7" borderId="1" xfId="0" applyNumberFormat="1" applyFont="1" applyFill="1" applyBorder="1" applyAlignment="1">
      <alignment horizontal="right" vertical="center" wrapText="1"/>
    </xf>
    <xf numFmtId="0" fontId="1" fillId="0" borderId="1" xfId="0" applyFont="1" applyBorder="1" applyAlignment="1">
      <alignment wrapText="1"/>
    </xf>
    <xf numFmtId="3" fontId="1" fillId="0" borderId="1" xfId="0" applyNumberFormat="1" applyFont="1" applyBorder="1" applyAlignment="1">
      <alignment wrapText="1"/>
    </xf>
    <xf numFmtId="0" fontId="8" fillId="5" borderId="1" xfId="0" applyFont="1" applyFill="1" applyBorder="1" applyAlignment="1">
      <alignment wrapText="1"/>
    </xf>
    <xf numFmtId="3" fontId="8" fillId="5" borderId="1" xfId="0" applyNumberFormat="1" applyFont="1" applyFill="1" applyBorder="1" applyAlignment="1">
      <alignment wrapText="1"/>
    </xf>
    <xf numFmtId="0" fontId="10" fillId="0" borderId="1" xfId="0" applyFont="1" applyBorder="1" applyAlignment="1">
      <alignment wrapText="1"/>
    </xf>
    <xf numFmtId="0" fontId="3" fillId="2" borderId="0" xfId="0" applyFont="1" applyFill="1" applyAlignment="1">
      <alignment horizontal="center" vertical="center" wrapText="1"/>
    </xf>
    <xf numFmtId="0" fontId="6" fillId="3" borderId="0" xfId="0" applyFont="1" applyFill="1" applyAlignment="1">
      <alignment horizontal="left" vertical="center" wrapText="1"/>
    </xf>
    <xf numFmtId="0" fontId="6" fillId="3" borderId="0" xfId="0" applyFont="1" applyFill="1" applyAlignment="1">
      <alignment horizontal="right" vertical="center" wrapText="1"/>
    </xf>
    <xf numFmtId="0" fontId="4" fillId="8" borderId="0" xfId="0" applyFont="1" applyFill="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wrapText="1"/>
    </xf>
    <xf numFmtId="0" fontId="1" fillId="8" borderId="0" xfId="0" applyFont="1" applyFill="1" applyAlignment="1">
      <alignment wrapText="1"/>
    </xf>
    <xf numFmtId="0" fontId="1" fillId="0" borderId="0" xfId="0" applyFont="1" applyAlignment="1">
      <alignment wrapText="1"/>
    </xf>
    <xf numFmtId="0" fontId="1" fillId="9" borderId="0" xfId="0" applyFont="1" applyFill="1" applyAlignment="1">
      <alignment horizontal="right" vertical="center" wrapText="1"/>
    </xf>
    <xf numFmtId="0" fontId="8" fillId="9" borderId="0" xfId="0" applyFont="1" applyFill="1" applyAlignment="1">
      <alignment horizontal="left" vertical="center" wrapText="1"/>
    </xf>
    <xf numFmtId="0" fontId="12" fillId="9" borderId="0" xfId="1" applyFont="1" applyFill="1" applyAlignment="1">
      <alignment horizontal="right" vertical="center" wrapText="1"/>
    </xf>
    <xf numFmtId="0" fontId="14" fillId="10" borderId="0" xfId="0" applyFont="1" applyFill="1" applyAlignment="1">
      <alignment horizontal="center"/>
    </xf>
    <xf numFmtId="0" fontId="15" fillId="9" borderId="0" xfId="0" applyFont="1" applyFill="1" applyAlignment="1">
      <alignment horizontal="center"/>
    </xf>
    <xf numFmtId="0" fontId="0" fillId="11" borderId="0" xfId="0" applyFill="1" applyAlignment="1">
      <alignment wrapText="1"/>
    </xf>
    <xf numFmtId="0" fontId="13" fillId="13" borderId="0" xfId="0" applyFont="1" applyFill="1"/>
    <xf numFmtId="0" fontId="13" fillId="10" borderId="2" xfId="0" applyFont="1" applyFill="1" applyBorder="1" applyAlignment="1">
      <alignment horizontal="center" vertical="center" wrapText="1"/>
    </xf>
    <xf numFmtId="0" fontId="13" fillId="10" borderId="2" xfId="0" applyFont="1" applyFill="1" applyBorder="1"/>
    <xf numFmtId="0" fontId="0" fillId="12" borderId="2" xfId="0" applyFill="1" applyBorder="1" applyAlignment="1">
      <alignment vertical="top" wrapText="1"/>
    </xf>
    <xf numFmtId="0" fontId="0" fillId="0" borderId="2" xfId="0" applyBorder="1" applyAlignment="1">
      <alignment vertical="top" wrapText="1"/>
    </xf>
    <xf numFmtId="0" fontId="0" fillId="0" borderId="2" xfId="0" applyBorder="1" applyAlignment="1">
      <alignment vertical="top" wrapText="1"/>
    </xf>
    <xf numFmtId="0" fontId="15" fillId="14" borderId="2" xfId="0" applyFont="1" applyFill="1" applyBorder="1" applyAlignment="1">
      <alignment vertical="top" wrapText="1"/>
    </xf>
    <xf numFmtId="0" fontId="15" fillId="14" borderId="2" xfId="0" applyFont="1" applyFill="1" applyBorder="1" applyAlignment="1">
      <alignment vertical="top" wrapText="1"/>
    </xf>
    <xf numFmtId="0" fontId="0" fillId="12" borderId="2" xfId="0" applyFill="1" applyBorder="1" applyAlignment="1">
      <alignment horizontal="center" vertical="top" wrapText="1"/>
    </xf>
    <xf numFmtId="0" fontId="0" fillId="0" borderId="2" xfId="0" applyBorder="1" applyAlignment="1">
      <alignment horizontal="center" vertical="top" wrapText="1"/>
    </xf>
    <xf numFmtId="0" fontId="13" fillId="10" borderId="2" xfId="0" applyFont="1" applyFill="1" applyBorder="1" applyAlignment="1">
      <alignment horizontal="center"/>
    </xf>
    <xf numFmtId="3" fontId="0" fillId="0" borderId="2" xfId="0" applyNumberFormat="1" applyBorder="1" applyAlignment="1">
      <alignment horizontal="right" vertical="top" wrapText="1"/>
    </xf>
    <xf numFmtId="0" fontId="13" fillId="10" borderId="2" xfId="0" applyFont="1" applyFill="1" applyBorder="1" applyAlignment="1">
      <alignment horizontal="right"/>
    </xf>
    <xf numFmtId="3" fontId="0" fillId="12" borderId="2" xfId="0" applyNumberFormat="1" applyFill="1" applyBorder="1" applyAlignment="1">
      <alignment horizontal="right" vertical="top" wrapText="1"/>
    </xf>
    <xf numFmtId="3" fontId="13" fillId="10" borderId="2" xfId="0" applyNumberFormat="1" applyFont="1" applyFill="1" applyBorder="1" applyAlignment="1">
      <alignment horizontal="right"/>
    </xf>
    <xf numFmtId="164" fontId="0" fillId="12" borderId="2" xfId="0" applyNumberFormat="1" applyFill="1" applyBorder="1" applyAlignment="1">
      <alignment horizontal="right" vertical="top" wrapText="1"/>
    </xf>
    <xf numFmtId="164" fontId="0" fillId="0" borderId="2" xfId="0" applyNumberFormat="1" applyBorder="1" applyAlignment="1">
      <alignment horizontal="right" vertical="top" wrapText="1"/>
    </xf>
    <xf numFmtId="164" fontId="13" fillId="10" borderId="2" xfId="0" applyNumberFormat="1" applyFont="1" applyFill="1" applyBorder="1" applyAlignment="1">
      <alignment horizontal="right"/>
    </xf>
    <xf numFmtId="164" fontId="0" fillId="0" borderId="0" xfId="0" applyNumberFormat="1"/>
    <xf numFmtId="164" fontId="13" fillId="13" borderId="0" xfId="0" applyNumberFormat="1" applyFont="1" applyFill="1"/>
    <xf numFmtId="164" fontId="13" fillId="10" borderId="2" xfId="0" applyNumberFormat="1" applyFont="1" applyFill="1" applyBorder="1"/>
    <xf numFmtId="164" fontId="0" fillId="0" borderId="2" xfId="0" applyNumberFormat="1" applyBorder="1" applyAlignment="1">
      <alignment vertical="top" wrapText="1"/>
    </xf>
    <xf numFmtId="164" fontId="15" fillId="14" borderId="2"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Annual Gemini Cost by Usage Scenario</a:t>
            </a:r>
          </a:p>
        </c:rich>
      </c:tx>
      <c:overlay val="0"/>
    </c:title>
    <c:autoTitleDeleted val="0"/>
    <c:plotArea>
      <c:layout/>
      <c:barChart>
        <c:barDir val="col"/>
        <c:grouping val="clustered"/>
        <c:varyColors val="0"/>
        <c:ser>
          <c:idx val="0"/>
          <c:order val="0"/>
          <c:tx>
            <c:strRef>
              <c:f>'Cost Calculator'!$N$23</c:f>
              <c:strCache>
                <c:ptCount val="1"/>
                <c:pt idx="0">
                  <c:v>Annual Cost</c:v>
                </c:pt>
              </c:strCache>
            </c:strRef>
          </c:tx>
          <c:invertIfNegative val="0"/>
          <c:cat>
            <c:strRef>
              <c:f>'Cost Calculator'!$M$24:$M$26</c:f>
              <c:strCache>
                <c:ptCount val="3"/>
                <c:pt idx="0">
                  <c:v>Admin weekly generation</c:v>
                </c:pt>
                <c:pt idx="1">
                  <c:v>Developer testing</c:v>
                </c:pt>
                <c:pt idx="2">
                  <c:v>Admin failed attempts</c:v>
                </c:pt>
              </c:strCache>
            </c:strRef>
          </c:cat>
          <c:val>
            <c:numRef>
              <c:f>'Cost Calculator'!$N$24:$N$26</c:f>
              <c:numCache>
                <c:formatCode>\$0.00</c:formatCode>
                <c:ptCount val="3"/>
                <c:pt idx="0">
                  <c:v>66.571065599999997</c:v>
                </c:pt>
                <c:pt idx="1">
                  <c:v>33.285532799999999</c:v>
                </c:pt>
                <c:pt idx="2">
                  <c:v>33.285532799999999</c:v>
                </c:pt>
              </c:numCache>
            </c:numRef>
          </c:val>
          <c:extLst>
            <c:ext xmlns:c16="http://schemas.microsoft.com/office/drawing/2014/chart" uri="{C3380CC4-5D6E-409C-BE32-E72D297353CC}">
              <c16:uniqueId val="{00000003-D31C-4357-8D35-F3FE8DAD4181}"/>
            </c:ext>
          </c:extLst>
        </c:ser>
        <c:dLbls>
          <c:showLegendKey val="0"/>
          <c:showVal val="0"/>
          <c:showCatName val="0"/>
          <c:showSerName val="0"/>
          <c:showPercent val="0"/>
          <c:showBubbleSize val="0"/>
        </c:dLbls>
        <c:gapWidth val="150"/>
        <c:axId val="1712914015"/>
        <c:axId val="1712914975"/>
      </c:barChart>
      <c:catAx>
        <c:axId val="1712914015"/>
        <c:scaling>
          <c:orientation val="minMax"/>
        </c:scaling>
        <c:delete val="0"/>
        <c:axPos val="b"/>
        <c:numFmt formatCode="General" sourceLinked="1"/>
        <c:majorTickMark val="out"/>
        <c:minorTickMark val="none"/>
        <c:tickLblPos val="nextTo"/>
        <c:crossAx val="1712914975"/>
        <c:crosses val="autoZero"/>
        <c:auto val="1"/>
        <c:lblAlgn val="ctr"/>
        <c:lblOffset val="100"/>
        <c:noMultiLvlLbl val="0"/>
      </c:catAx>
      <c:valAx>
        <c:axId val="1712914975"/>
        <c:scaling>
          <c:orientation val="minMax"/>
        </c:scaling>
        <c:delete val="0"/>
        <c:axPos val="l"/>
        <c:majorGridlines/>
        <c:title>
          <c:tx>
            <c:rich>
              <a:bodyPr/>
              <a:lstStyle/>
              <a:p>
                <a:pPr>
                  <a:defRPr/>
                </a:pPr>
                <a:r>
                  <a:rPr lang="en-GB"/>
                  <a:t>USD</a:t>
                </a:r>
              </a:p>
            </c:rich>
          </c:tx>
          <c:overlay val="0"/>
        </c:title>
        <c:numFmt formatCode="0.00" sourceLinked="0"/>
        <c:majorTickMark val="out"/>
        <c:minorTickMark val="none"/>
        <c:tickLblPos val="nextTo"/>
        <c:crossAx val="1712914015"/>
        <c:crosses val="autoZero"/>
        <c:crossBetween val="between"/>
      </c:valAx>
    </c:plotArea>
    <c:plotVisOnly val="0"/>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704159</xdr:colOff>
      <xdr:row>30</xdr:row>
      <xdr:rowOff>44011</xdr:rowOff>
    </xdr:from>
    <xdr:to>
      <xdr:col>14</xdr:col>
      <xdr:colOff>94811</xdr:colOff>
      <xdr:row>45</xdr:row>
      <xdr:rowOff>88776</xdr:rowOff>
    </xdr:to>
    <xdr:graphicFrame macro="">
      <xdr:nvGraphicFramePr>
        <xdr:cNvPr id="2" name="Chart 1">
          <a:extLst>
            <a:ext uri="{FF2B5EF4-FFF2-40B4-BE49-F238E27FC236}">
              <a16:creationId xmlns:a16="http://schemas.microsoft.com/office/drawing/2014/main" id="{582D54C9-F641-887D-D570-7E926419A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79"/>
  <sheetViews>
    <sheetView showGridLines="0" topLeftCell="E13" zoomScale="101" workbookViewId="0">
      <selection activeCell="K26" sqref="K26"/>
    </sheetView>
  </sheetViews>
  <sheetFormatPr defaultRowHeight="13"/>
  <cols>
    <col min="1" max="1" width="2.58203125" style="1" customWidth="1"/>
    <col min="2" max="2" width="28.58203125" style="1" customWidth="1"/>
    <col min="3" max="3" width="24.58203125" style="1" customWidth="1"/>
    <col min="4" max="4" width="18.58203125" style="1" customWidth="1"/>
    <col min="5" max="5" width="24.58203125" style="1" customWidth="1"/>
    <col min="6" max="7" width="17.58203125" style="1" customWidth="1"/>
    <col min="8" max="8" width="30.58203125" style="1" customWidth="1"/>
    <col min="9" max="10" width="15.58203125" style="1" customWidth="1"/>
    <col min="11" max="11" width="17.58203125" style="1" customWidth="1"/>
    <col min="12" max="12" width="8.6640625" style="1"/>
    <col min="13" max="14" width="0" style="1" hidden="1" customWidth="1"/>
    <col min="15" max="16384" width="8.6640625" style="1"/>
  </cols>
  <sheetData>
    <row r="1" spans="2:11" ht="28" customHeight="1">
      <c r="B1" s="33" t="s">
        <v>6</v>
      </c>
      <c r="C1" s="33"/>
      <c r="D1" s="33"/>
      <c r="E1" s="33"/>
      <c r="F1" s="33"/>
      <c r="G1" s="33"/>
      <c r="H1" s="33"/>
      <c r="I1" s="33"/>
      <c r="J1" s="33"/>
      <c r="K1" s="33"/>
    </row>
    <row r="2" spans="2:11" ht="18" customHeight="1">
      <c r="B2" s="33"/>
      <c r="C2" s="33"/>
      <c r="D2" s="33"/>
      <c r="E2" s="33"/>
      <c r="F2" s="33"/>
      <c r="G2" s="33"/>
      <c r="H2" s="33"/>
      <c r="I2" s="33"/>
      <c r="J2" s="33"/>
      <c r="K2" s="33"/>
    </row>
    <row r="3" spans="2:11" ht="24" customHeight="1">
      <c r="B3" s="39" t="s">
        <v>7</v>
      </c>
      <c r="C3" s="40"/>
      <c r="D3" s="40"/>
      <c r="E3" s="40"/>
      <c r="F3" s="40"/>
      <c r="G3" s="40"/>
      <c r="H3" s="40"/>
      <c r="I3" s="40"/>
      <c r="J3" s="40"/>
      <c r="K3" s="40"/>
    </row>
    <row r="4" spans="2:11" ht="16.649999999999999" customHeight="1">
      <c r="B4" s="5"/>
      <c r="C4" s="5"/>
      <c r="D4" s="5"/>
      <c r="E4" s="5"/>
      <c r="F4" s="5"/>
      <c r="G4" s="5"/>
      <c r="H4" s="5"/>
      <c r="I4" s="5"/>
      <c r="J4" s="5"/>
      <c r="K4" s="5"/>
    </row>
    <row r="5" spans="2:11" ht="16.649999999999999" customHeight="1">
      <c r="B5" s="34" t="s">
        <v>8</v>
      </c>
      <c r="C5" s="34"/>
      <c r="D5" s="34"/>
      <c r="E5" s="34"/>
      <c r="F5" s="34"/>
      <c r="G5" s="34"/>
      <c r="H5" s="34"/>
      <c r="I5" s="34"/>
      <c r="J5" s="34"/>
      <c r="K5" s="34"/>
    </row>
    <row r="6" spans="2:11" ht="36" customHeight="1">
      <c r="B6" s="2" t="s">
        <v>9</v>
      </c>
      <c r="C6" s="2" t="s">
        <v>10</v>
      </c>
      <c r="D6" s="2" t="s">
        <v>11</v>
      </c>
      <c r="E6" s="2" t="s">
        <v>12</v>
      </c>
      <c r="F6" s="2" t="s">
        <v>13</v>
      </c>
      <c r="G6" s="2" t="s">
        <v>14</v>
      </c>
      <c r="H6" s="2" t="s">
        <v>1</v>
      </c>
      <c r="I6" s="5"/>
      <c r="J6" s="5"/>
      <c r="K6" s="5"/>
    </row>
    <row r="7" spans="2:11" ht="38" customHeight="1">
      <c r="B7" s="6" t="s">
        <v>15</v>
      </c>
      <c r="C7" s="11">
        <v>1</v>
      </c>
      <c r="D7" s="12">
        <v>1</v>
      </c>
      <c r="E7" s="13">
        <f>C7*D7</f>
        <v>1</v>
      </c>
      <c r="F7" s="13">
        <f>E7*52/12</f>
        <v>4.333333333333333</v>
      </c>
      <c r="G7" s="13">
        <f>E7*52</f>
        <v>52</v>
      </c>
      <c r="H7" s="14" t="s">
        <v>18</v>
      </c>
      <c r="I7" s="15"/>
      <c r="J7" s="15"/>
      <c r="K7" s="15"/>
    </row>
    <row r="8" spans="2:11" ht="38" customHeight="1">
      <c r="B8" s="6" t="s">
        <v>16</v>
      </c>
      <c r="C8" s="11">
        <v>2</v>
      </c>
      <c r="D8" s="12">
        <v>0.25</v>
      </c>
      <c r="E8" s="13">
        <f t="shared" ref="E8:E9" si="0">C8*D8</f>
        <v>0.5</v>
      </c>
      <c r="F8" s="13">
        <f t="shared" ref="F8:F9" si="1">E8*52/12</f>
        <v>2.1666666666666665</v>
      </c>
      <c r="G8" s="13">
        <f t="shared" ref="G8:G9" si="2">E8*52</f>
        <v>26</v>
      </c>
      <c r="H8" s="14" t="s">
        <v>19</v>
      </c>
      <c r="I8" s="15"/>
      <c r="J8" s="15"/>
      <c r="K8" s="15"/>
    </row>
    <row r="9" spans="2:11" ht="44" customHeight="1">
      <c r="B9" s="6" t="s">
        <v>17</v>
      </c>
      <c r="C9" s="11">
        <v>1</v>
      </c>
      <c r="D9" s="12">
        <v>0.5</v>
      </c>
      <c r="E9" s="13">
        <f t="shared" si="0"/>
        <v>0.5</v>
      </c>
      <c r="F9" s="13">
        <f t="shared" si="1"/>
        <v>2.1666666666666665</v>
      </c>
      <c r="G9" s="13">
        <f t="shared" si="2"/>
        <v>26</v>
      </c>
      <c r="H9" s="14" t="s">
        <v>20</v>
      </c>
      <c r="I9" s="15"/>
      <c r="J9" s="15"/>
      <c r="K9" s="15"/>
    </row>
    <row r="10" spans="2:11" ht="16.649999999999999" customHeight="1">
      <c r="B10" s="7" t="s">
        <v>21</v>
      </c>
      <c r="C10" s="16"/>
      <c r="D10" s="16"/>
      <c r="E10" s="17">
        <f>SUM(E7:E9)</f>
        <v>2</v>
      </c>
      <c r="F10" s="17">
        <f>SUM(F7:F9)</f>
        <v>8.6666666666666661</v>
      </c>
      <c r="G10" s="17">
        <f>SUM(G7:G9)</f>
        <v>104</v>
      </c>
      <c r="H10" s="16"/>
      <c r="I10" s="15"/>
      <c r="J10" s="15"/>
      <c r="K10" s="15"/>
    </row>
    <row r="11" spans="2:11" ht="16.649999999999999" customHeight="1">
      <c r="B11" s="8"/>
      <c r="C11" s="15"/>
      <c r="D11" s="15"/>
      <c r="E11" s="15"/>
      <c r="F11" s="15"/>
      <c r="G11" s="15"/>
      <c r="H11" s="15"/>
      <c r="I11" s="15"/>
      <c r="J11" s="15"/>
      <c r="K11" s="15"/>
    </row>
    <row r="12" spans="2:11" ht="16.649999999999999" customHeight="1">
      <c r="B12" s="34" t="s">
        <v>22</v>
      </c>
      <c r="C12" s="35"/>
      <c r="D12" s="35"/>
      <c r="E12" s="35"/>
      <c r="F12" s="35"/>
      <c r="G12" s="35"/>
      <c r="H12" s="35"/>
      <c r="I12" s="35"/>
      <c r="J12" s="35"/>
      <c r="K12" s="35"/>
    </row>
    <row r="13" spans="2:11" ht="44" customHeight="1">
      <c r="B13" s="9" t="s">
        <v>23</v>
      </c>
      <c r="C13" s="18" t="s">
        <v>24</v>
      </c>
      <c r="D13" s="18" t="s">
        <v>25</v>
      </c>
      <c r="E13" s="18" t="s">
        <v>26</v>
      </c>
      <c r="F13" s="18" t="s">
        <v>27</v>
      </c>
      <c r="G13" s="18" t="s">
        <v>28</v>
      </c>
      <c r="H13" s="18" t="s">
        <v>29</v>
      </c>
      <c r="I13" s="18" t="s">
        <v>30</v>
      </c>
      <c r="J13" s="18" t="s">
        <v>31</v>
      </c>
      <c r="K13" s="18" t="s">
        <v>32</v>
      </c>
    </row>
    <row r="14" spans="2:11" ht="16.649999999999999" customHeight="1">
      <c r="B14" s="6" t="s">
        <v>33</v>
      </c>
      <c r="C14" s="14" t="s">
        <v>128</v>
      </c>
      <c r="D14" s="19">
        <v>6</v>
      </c>
      <c r="E14" s="19">
        <v>58644</v>
      </c>
      <c r="F14" s="19">
        <v>13008</v>
      </c>
      <c r="G14" s="19">
        <v>52480</v>
      </c>
      <c r="H14" s="19">
        <f>F14+G14</f>
        <v>65488</v>
      </c>
      <c r="I14" s="20">
        <v>1.5</v>
      </c>
      <c r="J14" s="20">
        <v>9</v>
      </c>
      <c r="K14" s="21">
        <f>E14/1000000*I14+H14/1000000*J14</f>
        <v>0.67735800000000002</v>
      </c>
    </row>
    <row r="15" spans="2:11" ht="16.649999999999999" customHeight="1">
      <c r="B15" s="6" t="s">
        <v>35</v>
      </c>
      <c r="C15" s="14" t="s">
        <v>36</v>
      </c>
      <c r="D15" s="19">
        <v>3</v>
      </c>
      <c r="E15" s="19">
        <v>10528</v>
      </c>
      <c r="F15" s="19">
        <v>3061</v>
      </c>
      <c r="G15" s="19">
        <v>27329</v>
      </c>
      <c r="H15" s="19">
        <f t="shared" ref="H15:H16" si="3">F15+G15</f>
        <v>30390</v>
      </c>
      <c r="I15" s="20">
        <v>2</v>
      </c>
      <c r="J15" s="20">
        <v>12</v>
      </c>
      <c r="K15" s="21">
        <f t="shared" ref="K15:K16" si="4">E15/1000000*I15+H15/1000000*J15</f>
        <v>0.38573600000000002</v>
      </c>
    </row>
    <row r="16" spans="2:11" ht="16.649999999999999" customHeight="1">
      <c r="B16" s="6" t="s">
        <v>37</v>
      </c>
      <c r="C16" s="14" t="s">
        <v>38</v>
      </c>
      <c r="D16" s="19">
        <v>7</v>
      </c>
      <c r="E16" s="19">
        <v>25000</v>
      </c>
      <c r="F16" s="19">
        <v>0</v>
      </c>
      <c r="G16" s="19">
        <v>0</v>
      </c>
      <c r="H16" s="19">
        <f t="shared" si="3"/>
        <v>0</v>
      </c>
      <c r="I16" s="20">
        <v>0.15</v>
      </c>
      <c r="J16" s="20">
        <v>0</v>
      </c>
      <c r="K16" s="21">
        <f t="shared" si="4"/>
        <v>3.7499999999999999E-3</v>
      </c>
    </row>
    <row r="17" spans="2:14" ht="16.649999999999999" customHeight="1">
      <c r="B17" s="7" t="s">
        <v>39</v>
      </c>
      <c r="C17" s="16"/>
      <c r="D17" s="22">
        <f>SUM(D14:D16)</f>
        <v>16</v>
      </c>
      <c r="E17" s="22">
        <f>SUM(E14:E16)</f>
        <v>94172</v>
      </c>
      <c r="F17" s="22">
        <f>SUM(F14:F16)</f>
        <v>16069</v>
      </c>
      <c r="G17" s="22">
        <f>SUM(G14:G16)</f>
        <v>79809</v>
      </c>
      <c r="H17" s="22">
        <f>SUM(H14:H16)</f>
        <v>95878</v>
      </c>
      <c r="I17" s="23"/>
      <c r="J17" s="23"/>
      <c r="K17" s="23">
        <f>SUM(K14:K16)</f>
        <v>1.0668439999999999</v>
      </c>
    </row>
    <row r="18" spans="2:14" ht="16.649999999999999" customHeight="1">
      <c r="B18" s="8"/>
      <c r="C18" s="15"/>
      <c r="D18" s="15"/>
      <c r="E18" s="15"/>
      <c r="F18" s="15"/>
      <c r="G18" s="15"/>
      <c r="H18" s="15"/>
      <c r="I18" s="15"/>
      <c r="J18" s="15"/>
      <c r="K18" s="15"/>
    </row>
    <row r="19" spans="2:14" ht="16.649999999999999" customHeight="1">
      <c r="B19" s="8" t="s">
        <v>40</v>
      </c>
      <c r="C19" s="24">
        <v>0.2</v>
      </c>
      <c r="D19" s="15"/>
      <c r="E19" s="15" t="s">
        <v>41</v>
      </c>
      <c r="F19" s="25">
        <v>120</v>
      </c>
      <c r="G19" s="15"/>
      <c r="H19" s="41" t="s">
        <v>129</v>
      </c>
      <c r="I19" s="42"/>
      <c r="J19" s="42"/>
      <c r="K19" s="42"/>
    </row>
    <row r="20" spans="2:14" ht="16.649999999999999" customHeight="1">
      <c r="B20" s="47" t="s">
        <v>130</v>
      </c>
      <c r="C20" s="48" t="str">
        <f>HYPERLINK("#'Call Breakdown'!B1","Open call-by-call explanation")</f>
        <v>Open call-by-call explanation</v>
      </c>
      <c r="D20" s="46"/>
      <c r="E20" s="46"/>
      <c r="F20" s="46"/>
      <c r="G20" s="46"/>
      <c r="H20" s="42"/>
      <c r="I20" s="42"/>
      <c r="J20" s="42"/>
      <c r="K20" s="42"/>
    </row>
    <row r="21" spans="2:14" ht="16.649999999999999" customHeight="1">
      <c r="B21" s="8"/>
      <c r="C21" s="15"/>
      <c r="D21" s="15"/>
      <c r="E21" s="15"/>
      <c r="F21" s="15"/>
      <c r="G21" s="15"/>
      <c r="H21" s="15"/>
      <c r="I21" s="15"/>
      <c r="J21" s="15"/>
      <c r="K21" s="15"/>
    </row>
    <row r="22" spans="2:14" ht="16.649999999999999" customHeight="1">
      <c r="B22" s="34" t="s">
        <v>42</v>
      </c>
      <c r="C22" s="35"/>
      <c r="D22" s="35"/>
      <c r="E22" s="35"/>
      <c r="F22" s="35"/>
      <c r="G22" s="35"/>
      <c r="H22" s="35"/>
      <c r="I22" s="35"/>
      <c r="J22" s="35"/>
      <c r="K22" s="35"/>
    </row>
    <row r="23" spans="2:14" ht="16.649999999999999" customHeight="1">
      <c r="B23" s="9" t="s">
        <v>4</v>
      </c>
      <c r="C23" s="18" t="s">
        <v>43</v>
      </c>
      <c r="D23" s="15"/>
      <c r="E23" s="18" t="s">
        <v>51</v>
      </c>
      <c r="F23" s="18" t="s">
        <v>52</v>
      </c>
      <c r="G23" s="18" t="s">
        <v>53</v>
      </c>
      <c r="H23" s="18" t="s">
        <v>54</v>
      </c>
      <c r="I23" s="18" t="s">
        <v>55</v>
      </c>
      <c r="J23" s="18" t="s">
        <v>56</v>
      </c>
      <c r="K23" s="18" t="s">
        <v>57</v>
      </c>
      <c r="M23" s="1" t="s">
        <v>51</v>
      </c>
      <c r="N23" s="1" t="s">
        <v>57</v>
      </c>
    </row>
    <row r="24" spans="2:14" ht="16.649999999999999" customHeight="1">
      <c r="B24" s="6" t="s">
        <v>44</v>
      </c>
      <c r="C24" s="26">
        <f>K17</f>
        <v>1.0668439999999999</v>
      </c>
      <c r="D24" s="15"/>
      <c r="E24" s="14" t="s">
        <v>15</v>
      </c>
      <c r="F24" s="13">
        <f>E7</f>
        <v>1</v>
      </c>
      <c r="G24" s="13">
        <f>F7</f>
        <v>4.333333333333333</v>
      </c>
      <c r="H24" s="13">
        <f>G7</f>
        <v>52</v>
      </c>
      <c r="I24" s="26">
        <f>$K$17*F24*(1+$C$19)</f>
        <v>1.2802127999999999</v>
      </c>
      <c r="J24" s="26">
        <f>$K$17*G24*(1+$C$19)</f>
        <v>5.5475887999999989</v>
      </c>
      <c r="K24" s="26">
        <f>$K$17*H24*(1+$C$19)</f>
        <v>66.571065599999997</v>
      </c>
      <c r="M24" s="1" t="s">
        <v>15</v>
      </c>
      <c r="N24" s="4">
        <f>K24</f>
        <v>66.571065599999997</v>
      </c>
    </row>
    <row r="25" spans="2:14" ht="16.649999999999999" customHeight="1">
      <c r="B25" s="6" t="s">
        <v>45</v>
      </c>
      <c r="C25" s="26">
        <f>K17*E10*(1+$C$19)</f>
        <v>2.5604255999999999</v>
      </c>
      <c r="D25" s="15"/>
      <c r="E25" s="14" t="s">
        <v>16</v>
      </c>
      <c r="F25" s="13">
        <f t="shared" ref="F25:H26" si="5">E8</f>
        <v>0.5</v>
      </c>
      <c r="G25" s="13">
        <f t="shared" si="5"/>
        <v>2.1666666666666665</v>
      </c>
      <c r="H25" s="13">
        <f t="shared" si="5"/>
        <v>26</v>
      </c>
      <c r="I25" s="26">
        <f t="shared" ref="I25:I26" si="6">$K$17*F25*(1+$C$19)</f>
        <v>0.64010639999999996</v>
      </c>
      <c r="J25" s="26">
        <f t="shared" ref="J25:J26" si="7">$K$17*G25*(1+$C$19)</f>
        <v>2.7737943999999994</v>
      </c>
      <c r="K25" s="26">
        <f t="shared" ref="K25:K26" si="8">$K$17*H25*(1+$C$19)</f>
        <v>33.285532799999999</v>
      </c>
      <c r="M25" s="1" t="s">
        <v>16</v>
      </c>
      <c r="N25" s="4">
        <f t="shared" ref="N25:N26" si="9">K25</f>
        <v>33.285532799999999</v>
      </c>
    </row>
    <row r="26" spans="2:14" ht="16.649999999999999" customHeight="1">
      <c r="B26" s="6" t="s">
        <v>46</v>
      </c>
      <c r="C26" s="26">
        <f>K17*F10*(1+$C$19)</f>
        <v>11.095177599999998</v>
      </c>
      <c r="D26" s="15"/>
      <c r="E26" s="14" t="s">
        <v>17</v>
      </c>
      <c r="F26" s="13">
        <f t="shared" si="5"/>
        <v>0.5</v>
      </c>
      <c r="G26" s="13">
        <f t="shared" si="5"/>
        <v>2.1666666666666665</v>
      </c>
      <c r="H26" s="13">
        <f t="shared" si="5"/>
        <v>26</v>
      </c>
      <c r="I26" s="26">
        <f t="shared" si="6"/>
        <v>0.64010639999999996</v>
      </c>
      <c r="J26" s="26">
        <f t="shared" si="7"/>
        <v>2.7737943999999994</v>
      </c>
      <c r="K26" s="26">
        <f t="shared" si="8"/>
        <v>33.285532799999999</v>
      </c>
      <c r="M26" s="1" t="s">
        <v>17</v>
      </c>
      <c r="N26" s="4">
        <f t="shared" si="9"/>
        <v>33.285532799999999</v>
      </c>
    </row>
    <row r="27" spans="2:14" ht="16.649999999999999" customHeight="1">
      <c r="B27" s="10" t="s">
        <v>47</v>
      </c>
      <c r="C27" s="27">
        <f>K17*G10*(1+$C$19)</f>
        <v>133.14213119999999</v>
      </c>
      <c r="D27" s="15"/>
      <c r="E27" s="15"/>
      <c r="F27" s="15"/>
      <c r="G27" s="15"/>
      <c r="H27" s="15"/>
      <c r="I27" s="15"/>
      <c r="J27" s="15"/>
      <c r="K27" s="15"/>
    </row>
    <row r="28" spans="2:14" ht="16.649999999999999" customHeight="1">
      <c r="B28" s="6" t="s">
        <v>48</v>
      </c>
      <c r="C28" s="26">
        <f>K17*G7*(1+$C$19)</f>
        <v>66.571065599999997</v>
      </c>
      <c r="D28" s="15"/>
      <c r="E28" s="15"/>
      <c r="F28" s="15"/>
      <c r="G28" s="15"/>
      <c r="H28" s="15"/>
      <c r="I28" s="15"/>
      <c r="J28" s="15"/>
      <c r="K28" s="15"/>
    </row>
    <row r="29" spans="2:14" ht="16.649999999999999" customHeight="1">
      <c r="B29" s="6" t="s">
        <v>49</v>
      </c>
      <c r="C29" s="26">
        <f>K17*G8*(1+$C$19)</f>
        <v>33.285532799999999</v>
      </c>
      <c r="D29" s="15"/>
      <c r="E29" s="15"/>
      <c r="F29" s="15"/>
      <c r="G29" s="15"/>
      <c r="H29" s="15"/>
      <c r="I29" s="15"/>
      <c r="J29" s="15"/>
      <c r="K29" s="15"/>
    </row>
    <row r="30" spans="2:14" ht="16.649999999999999" customHeight="1">
      <c r="B30" s="6" t="s">
        <v>50</v>
      </c>
      <c r="C30" s="26">
        <f>K17*G9*(1+$C$19)</f>
        <v>33.285532799999999</v>
      </c>
      <c r="D30" s="15"/>
      <c r="E30" s="15"/>
      <c r="F30" s="15"/>
      <c r="G30" s="15"/>
      <c r="H30" s="15"/>
      <c r="I30" s="15"/>
      <c r="J30" s="15"/>
      <c r="K30" s="15"/>
    </row>
    <row r="31" spans="2:14" ht="16.649999999999999" customHeight="1">
      <c r="B31" s="8"/>
      <c r="C31" s="5"/>
      <c r="D31" s="5"/>
      <c r="E31" s="5"/>
      <c r="F31" s="5"/>
      <c r="G31" s="5"/>
      <c r="H31" s="5"/>
      <c r="I31" s="5"/>
      <c r="J31" s="5"/>
      <c r="K31" s="5"/>
    </row>
    <row r="32" spans="2:14" ht="16.649999999999999" customHeight="1">
      <c r="B32" s="8"/>
      <c r="C32" s="5"/>
      <c r="D32" s="5"/>
      <c r="E32" s="5"/>
      <c r="F32" s="5"/>
      <c r="G32" s="5"/>
      <c r="H32" s="5"/>
      <c r="I32" s="5"/>
      <c r="J32" s="5"/>
      <c r="K32" s="5"/>
    </row>
    <row r="33" spans="2:11" ht="28" customHeight="1">
      <c r="B33" s="36" t="s">
        <v>58</v>
      </c>
      <c r="C33" s="37"/>
      <c r="D33" s="37"/>
      <c r="E33" s="5"/>
      <c r="F33" s="5"/>
      <c r="G33" s="5"/>
      <c r="H33" s="5"/>
      <c r="I33" s="5"/>
      <c r="J33" s="5"/>
      <c r="K33" s="5"/>
    </row>
    <row r="34" spans="2:11" ht="16.649999999999999" customHeight="1">
      <c r="B34" s="38"/>
      <c r="C34" s="37"/>
      <c r="D34" s="37"/>
      <c r="E34" s="5"/>
      <c r="F34" s="5"/>
      <c r="G34" s="5"/>
      <c r="H34" s="5"/>
      <c r="I34" s="5"/>
      <c r="J34" s="5"/>
      <c r="K34" s="5"/>
    </row>
    <row r="35" spans="2:11" ht="16.649999999999999" customHeight="1">
      <c r="B35" s="38"/>
      <c r="C35" s="37"/>
      <c r="D35" s="37"/>
      <c r="E35" s="5"/>
      <c r="F35" s="5"/>
      <c r="G35" s="5"/>
      <c r="H35" s="5"/>
      <c r="I35" s="5"/>
      <c r="J35" s="5"/>
      <c r="K35" s="5"/>
    </row>
    <row r="36" spans="2:11" ht="16.649999999999999" customHeight="1">
      <c r="B36" s="37"/>
      <c r="C36" s="37"/>
      <c r="D36" s="37"/>
    </row>
    <row r="37" spans="2:11" ht="16.649999999999999" customHeight="1">
      <c r="B37" s="37"/>
      <c r="C37" s="37"/>
      <c r="D37" s="37"/>
    </row>
    <row r="38" spans="2:11" ht="16.649999999999999" customHeight="1">
      <c r="B38" s="37"/>
      <c r="C38" s="37"/>
      <c r="D38" s="37"/>
    </row>
    <row r="39" spans="2:11" ht="16.649999999999999" customHeigh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sheetData>
  <mergeCells count="7">
    <mergeCell ref="B22:K22"/>
    <mergeCell ref="B33:D38"/>
    <mergeCell ref="B1:K2"/>
    <mergeCell ref="B3:K3"/>
    <mergeCell ref="B5:K5"/>
    <mergeCell ref="B12:K12"/>
    <mergeCell ref="H19:K20"/>
  </mergeCells>
  <pageMargins left="0.7" right="0.7" top="0.75" bottom="0.75" header="0.3" footer="0.3"/>
  <pageSetup paperSize="142" scale="1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561A-CCCB-4398-9F03-F962C7FC1057}">
  <dimension ref="B1:P29"/>
  <sheetViews>
    <sheetView tabSelected="1" zoomScale="75" zoomScaleNormal="75" workbookViewId="0">
      <pane ySplit="5" topLeftCell="A6" activePane="bottomLeft" state="frozenSplit"/>
      <selection pane="bottomLeft"/>
    </sheetView>
  </sheetViews>
  <sheetFormatPr defaultRowHeight="14"/>
  <cols>
    <col min="1" max="1" width="2.58203125" customWidth="1"/>
    <col min="2" max="2" width="12.58203125" customWidth="1"/>
    <col min="3" max="3" width="22.58203125" customWidth="1"/>
    <col min="4" max="5" width="25.58203125" customWidth="1"/>
    <col min="6" max="6" width="48.58203125" customWidth="1"/>
    <col min="7" max="7" width="38.58203125" customWidth="1"/>
    <col min="8" max="8" width="13.58203125" customWidth="1"/>
    <col min="9" max="10" width="14.58203125" customWidth="1"/>
    <col min="11" max="12" width="15.58203125" customWidth="1"/>
    <col min="13" max="14" width="13.58203125" customWidth="1"/>
    <col min="15" max="15" width="14.58203125" customWidth="1"/>
    <col min="16" max="16" width="38.58203125" customWidth="1"/>
  </cols>
  <sheetData>
    <row r="1" spans="2:16" ht="30" customHeight="1">
      <c r="B1" s="49" t="s">
        <v>131</v>
      </c>
      <c r="C1" s="49"/>
      <c r="D1" s="49"/>
      <c r="E1" s="49"/>
      <c r="F1" s="49"/>
      <c r="G1" s="49"/>
      <c r="H1" s="49"/>
      <c r="I1" s="49"/>
      <c r="J1" s="49"/>
      <c r="K1" s="49"/>
      <c r="L1" s="49"/>
      <c r="M1" s="49"/>
      <c r="N1" s="49"/>
      <c r="O1" s="49"/>
      <c r="P1" s="49"/>
    </row>
    <row r="2" spans="2:16" ht="24" customHeight="1">
      <c r="B2" s="50" t="s">
        <v>132</v>
      </c>
      <c r="C2" s="50"/>
      <c r="D2" s="50"/>
      <c r="E2" s="50"/>
      <c r="F2" s="50"/>
      <c r="G2" s="50"/>
      <c r="H2" s="50"/>
      <c r="I2" s="50"/>
      <c r="J2" s="50"/>
      <c r="K2" s="50"/>
      <c r="L2" s="50"/>
      <c r="M2" s="50"/>
      <c r="N2" s="50"/>
      <c r="O2" s="50"/>
      <c r="P2" s="50"/>
    </row>
    <row r="3" spans="2:16" ht="36" customHeight="1">
      <c r="B3" s="51" t="s">
        <v>133</v>
      </c>
      <c r="C3" s="51"/>
      <c r="D3" s="51"/>
      <c r="E3" s="51"/>
      <c r="F3" s="51"/>
      <c r="G3" s="51"/>
      <c r="H3" s="51"/>
      <c r="I3" s="51"/>
      <c r="J3" s="51"/>
      <c r="K3" s="51"/>
      <c r="L3" s="51"/>
      <c r="M3" s="51"/>
      <c r="N3" s="51"/>
      <c r="O3" s="51"/>
      <c r="P3" s="51"/>
    </row>
    <row r="5" spans="2:16" ht="34" customHeight="1">
      <c r="B5" s="53" t="s">
        <v>134</v>
      </c>
      <c r="C5" s="53" t="s">
        <v>135</v>
      </c>
      <c r="D5" s="53" t="s">
        <v>136</v>
      </c>
      <c r="E5" s="53" t="s">
        <v>137</v>
      </c>
      <c r="F5" s="53" t="s">
        <v>138</v>
      </c>
      <c r="G5" s="53" t="s">
        <v>139</v>
      </c>
      <c r="H5" s="53" t="s">
        <v>140</v>
      </c>
      <c r="I5" s="53" t="s">
        <v>63</v>
      </c>
      <c r="J5" s="53" t="s">
        <v>64</v>
      </c>
      <c r="K5" s="53" t="s">
        <v>28</v>
      </c>
      <c r="L5" s="53" t="s">
        <v>65</v>
      </c>
      <c r="M5" s="53" t="s">
        <v>30</v>
      </c>
      <c r="N5" s="53" t="s">
        <v>31</v>
      </c>
      <c r="O5" s="53" t="s">
        <v>141</v>
      </c>
      <c r="P5" s="53" t="s">
        <v>142</v>
      </c>
    </row>
    <row r="6" spans="2:16" ht="52" customHeight="1">
      <c r="B6" s="60">
        <v>1</v>
      </c>
      <c r="C6" s="55" t="s">
        <v>37</v>
      </c>
      <c r="D6" s="55" t="s">
        <v>38</v>
      </c>
      <c r="E6" s="55" t="s">
        <v>143</v>
      </c>
      <c r="F6" s="55" t="s">
        <v>144</v>
      </c>
      <c r="G6" s="55" t="s">
        <v>145</v>
      </c>
      <c r="H6" s="65">
        <v>32</v>
      </c>
      <c r="I6" s="65">
        <f>ROUND(H6/SUMIF($C$6:$C$21,"Semantic memory",$H$6:$H$21)*'Cost Calculator'!$E$16,0)</f>
        <v>10390</v>
      </c>
      <c r="J6" s="65">
        <v>0</v>
      </c>
      <c r="K6" s="65">
        <v>0</v>
      </c>
      <c r="L6" s="65">
        <f>J6+K6</f>
        <v>0</v>
      </c>
      <c r="M6" s="67">
        <f>'Cost Calculator'!$I$16</f>
        <v>0.15</v>
      </c>
      <c r="N6" s="67">
        <f>'Cost Calculator'!$J$16</f>
        <v>0</v>
      </c>
      <c r="O6" s="67">
        <f>I6/1000000*M6+L6/1000000*N6</f>
        <v>1.5585E-3</v>
      </c>
      <c r="P6" s="55" t="s">
        <v>146</v>
      </c>
    </row>
    <row r="7" spans="2:16" ht="52" customHeight="1">
      <c r="B7" s="61">
        <v>2</v>
      </c>
      <c r="C7" s="56" t="s">
        <v>33</v>
      </c>
      <c r="D7" s="56" t="s">
        <v>128</v>
      </c>
      <c r="E7" s="56" t="s">
        <v>77</v>
      </c>
      <c r="F7" s="56" t="s">
        <v>147</v>
      </c>
      <c r="G7" s="56" t="s">
        <v>148</v>
      </c>
      <c r="H7" s="63">
        <v>52</v>
      </c>
      <c r="I7" s="63">
        <v>21224</v>
      </c>
      <c r="J7" s="63">
        <v>3509</v>
      </c>
      <c r="K7" s="63">
        <v>17915</v>
      </c>
      <c r="L7" s="63">
        <f>J7+K7</f>
        <v>21424</v>
      </c>
      <c r="M7" s="68">
        <f>'Cost Calculator'!$I$14</f>
        <v>1.5</v>
      </c>
      <c r="N7" s="68">
        <f>'Cost Calculator'!$J$14</f>
        <v>9</v>
      </c>
      <c r="O7" s="68">
        <f>I7/1000000*M7+L7/1000000*N7</f>
        <v>0.22465199999999999</v>
      </c>
      <c r="P7" s="56" t="s">
        <v>149</v>
      </c>
    </row>
    <row r="8" spans="2:16" ht="52" customHeight="1">
      <c r="B8" s="60">
        <v>3</v>
      </c>
      <c r="C8" s="55" t="s">
        <v>35</v>
      </c>
      <c r="D8" s="55" t="s">
        <v>36</v>
      </c>
      <c r="E8" s="55" t="s">
        <v>79</v>
      </c>
      <c r="F8" s="55" t="s">
        <v>150</v>
      </c>
      <c r="G8" s="55" t="s">
        <v>151</v>
      </c>
      <c r="H8" s="65">
        <v>13</v>
      </c>
      <c r="I8" s="65">
        <v>4349</v>
      </c>
      <c r="J8" s="65">
        <v>1261</v>
      </c>
      <c r="K8" s="65">
        <v>10855</v>
      </c>
      <c r="L8" s="65">
        <f>J8+K8</f>
        <v>12116</v>
      </c>
      <c r="M8" s="67">
        <f>'Cost Calculator'!$I$15</f>
        <v>2</v>
      </c>
      <c r="N8" s="67">
        <f>'Cost Calculator'!$J$15</f>
        <v>12</v>
      </c>
      <c r="O8" s="67">
        <f>I8/1000000*M8+L8/1000000*N8</f>
        <v>0.15409</v>
      </c>
      <c r="P8" s="55" t="s">
        <v>152</v>
      </c>
    </row>
    <row r="9" spans="2:16" ht="52" customHeight="1">
      <c r="B9" s="61">
        <v>4</v>
      </c>
      <c r="C9" s="56" t="s">
        <v>33</v>
      </c>
      <c r="D9" s="56" t="s">
        <v>128</v>
      </c>
      <c r="E9" s="56" t="s">
        <v>80</v>
      </c>
      <c r="F9" s="56" t="s">
        <v>153</v>
      </c>
      <c r="G9" s="56" t="s">
        <v>154</v>
      </c>
      <c r="H9" s="63">
        <v>40</v>
      </c>
      <c r="I9" s="63">
        <v>16949</v>
      </c>
      <c r="J9" s="63">
        <v>3000</v>
      </c>
      <c r="K9" s="63">
        <v>12472</v>
      </c>
      <c r="L9" s="63">
        <f>J9+K9</f>
        <v>15472</v>
      </c>
      <c r="M9" s="68">
        <f>'Cost Calculator'!$I$14</f>
        <v>1.5</v>
      </c>
      <c r="N9" s="68">
        <f>'Cost Calculator'!$J$14</f>
        <v>9</v>
      </c>
      <c r="O9" s="68">
        <f>I9/1000000*M9+L9/1000000*N9</f>
        <v>0.16467149999999997</v>
      </c>
      <c r="P9" s="56" t="s">
        <v>155</v>
      </c>
    </row>
    <row r="10" spans="2:16" ht="52" customHeight="1">
      <c r="B10" s="60">
        <v>5</v>
      </c>
      <c r="C10" s="55" t="s">
        <v>35</v>
      </c>
      <c r="D10" s="55" t="s">
        <v>36</v>
      </c>
      <c r="E10" s="55" t="s">
        <v>81</v>
      </c>
      <c r="F10" s="55" t="s">
        <v>156</v>
      </c>
      <c r="G10" s="55" t="s">
        <v>157</v>
      </c>
      <c r="H10" s="65">
        <v>12</v>
      </c>
      <c r="I10" s="65">
        <v>4209</v>
      </c>
      <c r="J10" s="65">
        <v>1611</v>
      </c>
      <c r="K10" s="65">
        <v>8914</v>
      </c>
      <c r="L10" s="65">
        <f>J10+K10</f>
        <v>10525</v>
      </c>
      <c r="M10" s="67">
        <f>'Cost Calculator'!$I$15</f>
        <v>2</v>
      </c>
      <c r="N10" s="67">
        <f>'Cost Calculator'!$J$15</f>
        <v>12</v>
      </c>
      <c r="O10" s="67">
        <f>I10/1000000*M10+L10/1000000*N10</f>
        <v>0.134718</v>
      </c>
      <c r="P10" s="55" t="s">
        <v>152</v>
      </c>
    </row>
    <row r="11" spans="2:16" ht="52" customHeight="1">
      <c r="B11" s="61">
        <v>6</v>
      </c>
      <c r="C11" s="56" t="s">
        <v>33</v>
      </c>
      <c r="D11" s="56" t="s">
        <v>128</v>
      </c>
      <c r="E11" s="56" t="s">
        <v>82</v>
      </c>
      <c r="F11" s="56" t="s">
        <v>158</v>
      </c>
      <c r="G11" s="56" t="s">
        <v>159</v>
      </c>
      <c r="H11" s="63">
        <v>16</v>
      </c>
      <c r="I11" s="63">
        <v>8157</v>
      </c>
      <c r="J11" s="63">
        <v>955</v>
      </c>
      <c r="K11" s="63">
        <v>8294</v>
      </c>
      <c r="L11" s="63">
        <f>J11+K11</f>
        <v>9249</v>
      </c>
      <c r="M11" s="68">
        <f>'Cost Calculator'!$I$14</f>
        <v>1.5</v>
      </c>
      <c r="N11" s="68">
        <f>'Cost Calculator'!$J$14</f>
        <v>9</v>
      </c>
      <c r="O11" s="68">
        <f>I11/1000000*M11+L11/1000000*N11</f>
        <v>9.5476500000000006E-2</v>
      </c>
      <c r="P11" s="56" t="s">
        <v>160</v>
      </c>
    </row>
    <row r="12" spans="2:16" ht="52" customHeight="1">
      <c r="B12" s="60">
        <v>7</v>
      </c>
      <c r="C12" s="55" t="s">
        <v>35</v>
      </c>
      <c r="D12" s="55" t="s">
        <v>36</v>
      </c>
      <c r="E12" s="55" t="s">
        <v>83</v>
      </c>
      <c r="F12" s="55" t="s">
        <v>161</v>
      </c>
      <c r="G12" s="55" t="s">
        <v>162</v>
      </c>
      <c r="H12" s="65">
        <v>3</v>
      </c>
      <c r="I12" s="65">
        <v>1970</v>
      </c>
      <c r="J12" s="65">
        <v>189</v>
      </c>
      <c r="K12" s="65">
        <v>7560</v>
      </c>
      <c r="L12" s="65">
        <f>J12+K12</f>
        <v>7749</v>
      </c>
      <c r="M12" s="67">
        <f>'Cost Calculator'!$I$15</f>
        <v>2</v>
      </c>
      <c r="N12" s="67">
        <f>'Cost Calculator'!$J$15</f>
        <v>12</v>
      </c>
      <c r="O12" s="67">
        <f>I12/1000000*M12+L12/1000000*N12</f>
        <v>9.6928E-2</v>
      </c>
      <c r="P12" s="55" t="s">
        <v>152</v>
      </c>
    </row>
    <row r="13" spans="2:16" ht="52" customHeight="1">
      <c r="B13" s="61">
        <v>8</v>
      </c>
      <c r="C13" s="56" t="s">
        <v>37</v>
      </c>
      <c r="D13" s="56" t="s">
        <v>38</v>
      </c>
      <c r="E13" s="56" t="s">
        <v>163</v>
      </c>
      <c r="F13" s="56" t="s">
        <v>164</v>
      </c>
      <c r="G13" s="56" t="s">
        <v>165</v>
      </c>
      <c r="H13" s="63">
        <v>18</v>
      </c>
      <c r="I13" s="63">
        <f>ROUND(H13/SUMIF($C$6:$C$21,"Semantic memory",$H$6:$H$21)*'Cost Calculator'!$E$16,0)</f>
        <v>5844</v>
      </c>
      <c r="J13" s="63">
        <v>0</v>
      </c>
      <c r="K13" s="63">
        <v>0</v>
      </c>
      <c r="L13" s="63">
        <f>J13+K13</f>
        <v>0</v>
      </c>
      <c r="M13" s="68">
        <f>'Cost Calculator'!$I$16</f>
        <v>0.15</v>
      </c>
      <c r="N13" s="68">
        <f>'Cost Calculator'!$J$16</f>
        <v>0</v>
      </c>
      <c r="O13" s="68">
        <f>I13/1000000*M13+L13/1000000*N13</f>
        <v>8.7660000000000006E-4</v>
      </c>
      <c r="P13" s="56" t="s">
        <v>166</v>
      </c>
    </row>
    <row r="14" spans="2:16" ht="52" customHeight="1">
      <c r="B14" s="60">
        <v>9</v>
      </c>
      <c r="C14" s="55" t="s">
        <v>37</v>
      </c>
      <c r="D14" s="55" t="s">
        <v>38</v>
      </c>
      <c r="E14" s="55" t="s">
        <v>167</v>
      </c>
      <c r="F14" s="55" t="s">
        <v>168</v>
      </c>
      <c r="G14" s="55" t="s">
        <v>169</v>
      </c>
      <c r="H14" s="65">
        <v>5</v>
      </c>
      <c r="I14" s="65">
        <f>ROUND(H14/SUMIF($C$6:$C$21,"Semantic memory",$H$6:$H$21)*'Cost Calculator'!$E$16,0)</f>
        <v>1623</v>
      </c>
      <c r="J14" s="65">
        <v>0</v>
      </c>
      <c r="K14" s="65">
        <v>0</v>
      </c>
      <c r="L14" s="65">
        <f>J14+K14</f>
        <v>0</v>
      </c>
      <c r="M14" s="67">
        <f>'Cost Calculator'!$I$16</f>
        <v>0.15</v>
      </c>
      <c r="N14" s="67">
        <f>'Cost Calculator'!$J$16</f>
        <v>0</v>
      </c>
      <c r="O14" s="67">
        <f>I14/1000000*M14+L14/1000000*N14</f>
        <v>2.4345000000000001E-4</v>
      </c>
      <c r="P14" s="55" t="s">
        <v>170</v>
      </c>
    </row>
    <row r="15" spans="2:16" ht="52" customHeight="1">
      <c r="B15" s="61">
        <v>10</v>
      </c>
      <c r="C15" s="56" t="s">
        <v>33</v>
      </c>
      <c r="D15" s="56" t="s">
        <v>128</v>
      </c>
      <c r="E15" s="56" t="s">
        <v>84</v>
      </c>
      <c r="F15" s="56" t="s">
        <v>171</v>
      </c>
      <c r="G15" s="56" t="s">
        <v>172</v>
      </c>
      <c r="H15" s="63">
        <v>5</v>
      </c>
      <c r="I15" s="63">
        <v>1236</v>
      </c>
      <c r="J15" s="63">
        <v>943</v>
      </c>
      <c r="K15" s="63">
        <v>1986</v>
      </c>
      <c r="L15" s="63">
        <f>J15+K15</f>
        <v>2929</v>
      </c>
      <c r="M15" s="68">
        <f>'Cost Calculator'!$I$14</f>
        <v>1.5</v>
      </c>
      <c r="N15" s="68">
        <f>'Cost Calculator'!$J$14</f>
        <v>9</v>
      </c>
      <c r="O15" s="68">
        <f>I15/1000000*M15+L15/1000000*N15</f>
        <v>2.8215000000000004E-2</v>
      </c>
      <c r="P15" s="56" t="s">
        <v>149</v>
      </c>
    </row>
    <row r="16" spans="2:16" ht="52" customHeight="1">
      <c r="B16" s="60">
        <v>11</v>
      </c>
      <c r="C16" s="55" t="s">
        <v>37</v>
      </c>
      <c r="D16" s="55" t="s">
        <v>38</v>
      </c>
      <c r="E16" s="55" t="s">
        <v>173</v>
      </c>
      <c r="F16" s="55" t="s">
        <v>174</v>
      </c>
      <c r="G16" s="55" t="s">
        <v>175</v>
      </c>
      <c r="H16" s="65">
        <v>6</v>
      </c>
      <c r="I16" s="65">
        <f>ROUND(H16/SUMIF($C$6:$C$21,"Semantic memory",$H$6:$H$21)*'Cost Calculator'!$E$16,0)</f>
        <v>1948</v>
      </c>
      <c r="J16" s="65">
        <v>0</v>
      </c>
      <c r="K16" s="65">
        <v>0</v>
      </c>
      <c r="L16" s="65">
        <f>J16+K16</f>
        <v>0</v>
      </c>
      <c r="M16" s="67">
        <f>'Cost Calculator'!$I$16</f>
        <v>0.15</v>
      </c>
      <c r="N16" s="67">
        <f>'Cost Calculator'!$J$16</f>
        <v>0</v>
      </c>
      <c r="O16" s="67">
        <f>I16/1000000*M16+L16/1000000*N16</f>
        <v>2.922E-4</v>
      </c>
      <c r="P16" s="55" t="s">
        <v>176</v>
      </c>
    </row>
    <row r="17" spans="2:16" ht="52" customHeight="1">
      <c r="B17" s="61">
        <v>12</v>
      </c>
      <c r="C17" s="56" t="s">
        <v>33</v>
      </c>
      <c r="D17" s="56" t="s">
        <v>128</v>
      </c>
      <c r="E17" s="56" t="s">
        <v>85</v>
      </c>
      <c r="F17" s="56" t="s">
        <v>177</v>
      </c>
      <c r="G17" s="56" t="s">
        <v>178</v>
      </c>
      <c r="H17" s="63">
        <v>6</v>
      </c>
      <c r="I17" s="63">
        <v>3519</v>
      </c>
      <c r="J17" s="63">
        <v>1374</v>
      </c>
      <c r="K17" s="63">
        <v>4591</v>
      </c>
      <c r="L17" s="63">
        <f>J17+K17</f>
        <v>5965</v>
      </c>
      <c r="M17" s="68">
        <f>'Cost Calculator'!$I$14</f>
        <v>1.5</v>
      </c>
      <c r="N17" s="68">
        <f>'Cost Calculator'!$J$14</f>
        <v>9</v>
      </c>
      <c r="O17" s="68">
        <f>I17/1000000*M17+L17/1000000*N17</f>
        <v>5.8963499999999995E-2</v>
      </c>
      <c r="P17" s="56" t="s">
        <v>179</v>
      </c>
    </row>
    <row r="18" spans="2:16" ht="52" customHeight="1">
      <c r="B18" s="60">
        <v>13</v>
      </c>
      <c r="C18" s="55" t="s">
        <v>37</v>
      </c>
      <c r="D18" s="55" t="s">
        <v>38</v>
      </c>
      <c r="E18" s="55" t="s">
        <v>180</v>
      </c>
      <c r="F18" s="55" t="s">
        <v>181</v>
      </c>
      <c r="G18" s="55" t="s">
        <v>182</v>
      </c>
      <c r="H18" s="65">
        <v>12</v>
      </c>
      <c r="I18" s="65">
        <f>ROUND(H18/SUMIF($C$6:$C$21,"Semantic memory",$H$6:$H$21)*'Cost Calculator'!$E$16,0)</f>
        <v>3896</v>
      </c>
      <c r="J18" s="65">
        <v>0</v>
      </c>
      <c r="K18" s="65">
        <v>0</v>
      </c>
      <c r="L18" s="65">
        <f>J18+K18</f>
        <v>0</v>
      </c>
      <c r="M18" s="67">
        <f>'Cost Calculator'!$I$16</f>
        <v>0.15</v>
      </c>
      <c r="N18" s="67">
        <f>'Cost Calculator'!$J$16</f>
        <v>0</v>
      </c>
      <c r="O18" s="67">
        <f>I18/1000000*M18+L18/1000000*N18</f>
        <v>5.844E-4</v>
      </c>
      <c r="P18" s="55" t="s">
        <v>183</v>
      </c>
    </row>
    <row r="19" spans="2:16" ht="52" customHeight="1">
      <c r="B19" s="61">
        <v>14</v>
      </c>
      <c r="C19" s="56" t="s">
        <v>33</v>
      </c>
      <c r="D19" s="56" t="s">
        <v>128</v>
      </c>
      <c r="E19" s="56" t="s">
        <v>184</v>
      </c>
      <c r="F19" s="56" t="s">
        <v>185</v>
      </c>
      <c r="G19" s="56" t="s">
        <v>186</v>
      </c>
      <c r="H19" s="63">
        <v>16</v>
      </c>
      <c r="I19" s="63">
        <v>7559</v>
      </c>
      <c r="J19" s="63">
        <v>3227</v>
      </c>
      <c r="K19" s="63">
        <v>7222</v>
      </c>
      <c r="L19" s="63">
        <f>J19+K19</f>
        <v>10449</v>
      </c>
      <c r="M19" s="68">
        <f>'Cost Calculator'!$I$14</f>
        <v>1.5</v>
      </c>
      <c r="N19" s="68">
        <f>'Cost Calculator'!$J$14</f>
        <v>9</v>
      </c>
      <c r="O19" s="68">
        <f>I19/1000000*M19+L19/1000000*N19</f>
        <v>0.1053795</v>
      </c>
      <c r="P19" s="56" t="s">
        <v>187</v>
      </c>
    </row>
    <row r="20" spans="2:16" ht="52" customHeight="1">
      <c r="B20" s="60">
        <v>15</v>
      </c>
      <c r="C20" s="55" t="s">
        <v>37</v>
      </c>
      <c r="D20" s="55" t="s">
        <v>38</v>
      </c>
      <c r="E20" s="55" t="s">
        <v>188</v>
      </c>
      <c r="F20" s="55" t="s">
        <v>189</v>
      </c>
      <c r="G20" s="55" t="s">
        <v>190</v>
      </c>
      <c r="H20" s="65">
        <v>2</v>
      </c>
      <c r="I20" s="65">
        <f>ROUND(H20/SUMIF($C$6:$C$21,"Semantic memory",$H$6:$H$21)*'Cost Calculator'!$E$16,0)</f>
        <v>649</v>
      </c>
      <c r="J20" s="65">
        <v>0</v>
      </c>
      <c r="K20" s="65">
        <v>0</v>
      </c>
      <c r="L20" s="65">
        <f>J20+K20</f>
        <v>0</v>
      </c>
      <c r="M20" s="67">
        <f>'Cost Calculator'!$I$16</f>
        <v>0.15</v>
      </c>
      <c r="N20" s="67">
        <f>'Cost Calculator'!$J$16</f>
        <v>0</v>
      </c>
      <c r="O20" s="67">
        <f>I20/1000000*M20+L20/1000000*N20</f>
        <v>9.7349999999999995E-5</v>
      </c>
      <c r="P20" s="55" t="s">
        <v>191</v>
      </c>
    </row>
    <row r="21" spans="2:16" ht="52" customHeight="1">
      <c r="B21" s="61">
        <v>16</v>
      </c>
      <c r="C21" s="56" t="s">
        <v>37</v>
      </c>
      <c r="D21" s="56" t="s">
        <v>38</v>
      </c>
      <c r="E21" s="56" t="s">
        <v>192</v>
      </c>
      <c r="F21" s="56" t="s">
        <v>193</v>
      </c>
      <c r="G21" s="56" t="s">
        <v>194</v>
      </c>
      <c r="H21" s="63">
        <v>2</v>
      </c>
      <c r="I21" s="63">
        <f>'Cost Calculator'!$E$16-SUMIF($C$6:$C$20,"Semantic memory",$I$6:$I$20)</f>
        <v>650</v>
      </c>
      <c r="J21" s="63">
        <v>0</v>
      </c>
      <c r="K21" s="63">
        <v>0</v>
      </c>
      <c r="L21" s="63">
        <f>J21+K21</f>
        <v>0</v>
      </c>
      <c r="M21" s="68">
        <f>'Cost Calculator'!$I$16</f>
        <v>0.15</v>
      </c>
      <c r="N21" s="68">
        <f>'Cost Calculator'!$J$16</f>
        <v>0</v>
      </c>
      <c r="O21" s="68">
        <f>I21/1000000*M21+L21/1000000*N21</f>
        <v>9.7499999999999998E-5</v>
      </c>
      <c r="P21" s="56" t="s">
        <v>195</v>
      </c>
    </row>
    <row r="22" spans="2:16">
      <c r="B22" s="62" t="s">
        <v>196</v>
      </c>
      <c r="C22" s="54" t="s">
        <v>197</v>
      </c>
      <c r="D22" s="54"/>
      <c r="E22" s="54"/>
      <c r="F22" s="54"/>
      <c r="G22" s="54"/>
      <c r="H22" s="66">
        <f>SUM(H6:H21)</f>
        <v>240</v>
      </c>
      <c r="I22" s="66">
        <f>SUM(I6:I21)</f>
        <v>94172</v>
      </c>
      <c r="J22" s="66">
        <f>SUM(J6:J21)</f>
        <v>16069</v>
      </c>
      <c r="K22" s="66">
        <f>SUM(K6:K21)</f>
        <v>79809</v>
      </c>
      <c r="L22" s="66">
        <f>SUM(L6:L21)</f>
        <v>95878</v>
      </c>
      <c r="M22" s="64"/>
      <c r="N22" s="64"/>
      <c r="O22" s="69">
        <f>SUM(O6:O21)</f>
        <v>1.0668440000000001</v>
      </c>
      <c r="P22" s="54"/>
    </row>
    <row r="23" spans="2:16">
      <c r="O23" s="70"/>
    </row>
    <row r="24" spans="2:16">
      <c r="B24" s="52" t="s">
        <v>198</v>
      </c>
      <c r="C24" s="52"/>
      <c r="D24" s="52"/>
      <c r="E24" s="52"/>
      <c r="F24" s="52"/>
      <c r="G24" s="52"/>
      <c r="H24" s="52"/>
      <c r="I24" s="52"/>
      <c r="J24" s="52"/>
      <c r="K24" s="52"/>
      <c r="L24" s="52"/>
      <c r="M24" s="52"/>
      <c r="N24" s="52"/>
      <c r="O24" s="71"/>
      <c r="P24" s="52"/>
    </row>
    <row r="25" spans="2:16">
      <c r="B25" s="54" t="s">
        <v>135</v>
      </c>
      <c r="C25" s="54" t="s">
        <v>2</v>
      </c>
      <c r="D25" s="54" t="s">
        <v>199</v>
      </c>
      <c r="E25" s="54"/>
      <c r="F25" s="54"/>
      <c r="G25" s="54"/>
      <c r="H25" s="54"/>
      <c r="I25" s="54" t="s">
        <v>200</v>
      </c>
      <c r="J25" s="54"/>
      <c r="K25" s="54"/>
      <c r="L25" s="54"/>
      <c r="M25" s="54"/>
      <c r="N25" s="54"/>
      <c r="O25" s="72" t="s">
        <v>32</v>
      </c>
    </row>
    <row r="26" spans="2:16" ht="45" customHeight="1">
      <c r="B26" s="56" t="s">
        <v>33</v>
      </c>
      <c r="C26" s="56">
        <f>COUNTIF($C$6:$C$21,B26)</f>
        <v>6</v>
      </c>
      <c r="D26" s="57" t="s">
        <v>201</v>
      </c>
      <c r="E26" s="57"/>
      <c r="F26" s="57"/>
      <c r="G26" s="57"/>
      <c r="H26" s="57"/>
      <c r="I26" s="57" t="s">
        <v>202</v>
      </c>
      <c r="J26" s="57"/>
      <c r="K26" s="57"/>
      <c r="L26" s="57"/>
      <c r="M26" s="57"/>
      <c r="N26" s="57"/>
      <c r="O26" s="73">
        <f>SUMIF($C$6:$C$21,B26,$O$6:$O$21)</f>
        <v>0.6773579999999999</v>
      </c>
    </row>
    <row r="27" spans="2:16" ht="45" customHeight="1">
      <c r="B27" s="56" t="s">
        <v>35</v>
      </c>
      <c r="C27" s="56">
        <f>COUNTIF($C$6:$C$21,B27)</f>
        <v>3</v>
      </c>
      <c r="D27" s="57" t="s">
        <v>203</v>
      </c>
      <c r="E27" s="57"/>
      <c r="F27" s="57"/>
      <c r="G27" s="57"/>
      <c r="H27" s="57"/>
      <c r="I27" s="57" t="s">
        <v>204</v>
      </c>
      <c r="J27" s="57"/>
      <c r="K27" s="57"/>
      <c r="L27" s="57"/>
      <c r="M27" s="57"/>
      <c r="N27" s="57"/>
      <c r="O27" s="73">
        <f>SUMIF($C$6:$C$21,B27,$O$6:$O$21)</f>
        <v>0.38573600000000002</v>
      </c>
    </row>
    <row r="28" spans="2:16" ht="45" customHeight="1">
      <c r="B28" s="56" t="s">
        <v>37</v>
      </c>
      <c r="C28" s="56">
        <f>COUNTIF($C$6:$C$21,B28)</f>
        <v>7</v>
      </c>
      <c r="D28" s="57" t="s">
        <v>205</v>
      </c>
      <c r="E28" s="57"/>
      <c r="F28" s="57"/>
      <c r="G28" s="57"/>
      <c r="H28" s="57"/>
      <c r="I28" s="57" t="s">
        <v>206</v>
      </c>
      <c r="J28" s="57"/>
      <c r="K28" s="57"/>
      <c r="L28" s="57"/>
      <c r="M28" s="57"/>
      <c r="N28" s="57"/>
      <c r="O28" s="73">
        <f>SUMIF($C$6:$C$21,B28,$O$6:$O$21)</f>
        <v>3.7499999999999999E-3</v>
      </c>
    </row>
    <row r="29" spans="2:16" ht="32" customHeight="1">
      <c r="B29" s="58" t="s">
        <v>196</v>
      </c>
      <c r="C29" s="58">
        <f>SUM(C26:C28)</f>
        <v>16</v>
      </c>
      <c r="D29" s="59" t="s">
        <v>207</v>
      </c>
      <c r="E29" s="59"/>
      <c r="F29" s="59"/>
      <c r="G29" s="59"/>
      <c r="H29" s="59"/>
      <c r="I29" s="59"/>
      <c r="J29" s="59"/>
      <c r="K29" s="59"/>
      <c r="L29" s="59"/>
      <c r="M29" s="59"/>
      <c r="N29" s="59"/>
      <c r="O29" s="74">
        <f>SUM(O26:O28)</f>
        <v>1.0668439999999999</v>
      </c>
    </row>
  </sheetData>
  <autoFilter ref="B5:P21" xr:uid="{CC80561A-CCCB-4398-9F03-F962C7FC1057}"/>
  <mergeCells count="11">
    <mergeCell ref="D27:H27"/>
    <mergeCell ref="I27:N27"/>
    <mergeCell ref="D28:H28"/>
    <mergeCell ref="I28:N28"/>
    <mergeCell ref="D29:N29"/>
    <mergeCell ref="B1:P1"/>
    <mergeCell ref="B2:P2"/>
    <mergeCell ref="B3:P3"/>
    <mergeCell ref="B24:P24"/>
    <mergeCell ref="D26:H26"/>
    <mergeCell ref="I26:N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106C-C766-4695-96B4-D588F22E2259}">
  <sheetPr>
    <pageSetUpPr fitToPage="1"/>
  </sheetPr>
  <dimension ref="B1:I27"/>
  <sheetViews>
    <sheetView showGridLines="0" topLeftCell="A8" workbookViewId="0">
      <selection activeCell="H8" sqref="H8"/>
    </sheetView>
  </sheetViews>
  <sheetFormatPr defaultRowHeight="13"/>
  <cols>
    <col min="1" max="1" width="2.58203125" style="1" customWidth="1"/>
    <col min="2" max="2" width="25.58203125" style="1" customWidth="1"/>
    <col min="3" max="3" width="24.58203125" style="1" customWidth="1"/>
    <col min="4" max="8" width="16.58203125" style="1" customWidth="1"/>
    <col min="9" max="9" width="40.58203125" style="1" customWidth="1"/>
    <col min="10" max="16384" width="8.6640625" style="1"/>
  </cols>
  <sheetData>
    <row r="1" spans="2:9">
      <c r="B1" s="33" t="s">
        <v>59</v>
      </c>
      <c r="C1" s="33"/>
      <c r="D1" s="33"/>
      <c r="E1" s="33"/>
      <c r="F1" s="33"/>
      <c r="G1" s="33"/>
      <c r="H1" s="33"/>
      <c r="I1" s="33"/>
    </row>
    <row r="2" spans="2:9">
      <c r="B2" s="33"/>
      <c r="C2" s="33"/>
      <c r="D2" s="33"/>
      <c r="E2" s="33"/>
      <c r="F2" s="33"/>
      <c r="G2" s="33"/>
      <c r="H2" s="33"/>
      <c r="I2" s="33"/>
    </row>
    <row r="3" spans="2:9">
      <c r="B3" s="43" t="s">
        <v>60</v>
      </c>
      <c r="C3" s="43"/>
      <c r="D3" s="43"/>
      <c r="E3" s="43"/>
      <c r="F3" s="43"/>
      <c r="G3" s="43"/>
      <c r="H3" s="43"/>
      <c r="I3" s="43"/>
    </row>
    <row r="4" spans="2:9">
      <c r="B4" s="3"/>
      <c r="C4" s="3"/>
      <c r="D4" s="3"/>
      <c r="E4" s="3"/>
      <c r="F4" s="3"/>
      <c r="G4" s="3"/>
      <c r="H4" s="3"/>
      <c r="I4" s="3"/>
    </row>
    <row r="5" spans="2:9" ht="14.5">
      <c r="B5" s="34" t="s">
        <v>61</v>
      </c>
      <c r="C5" s="34"/>
      <c r="D5" s="34"/>
      <c r="E5" s="34"/>
      <c r="F5" s="34"/>
      <c r="G5" s="34"/>
      <c r="H5" s="34"/>
      <c r="I5" s="34"/>
    </row>
    <row r="6" spans="2:9" ht="36" customHeight="1">
      <c r="B6" s="2" t="s">
        <v>62</v>
      </c>
      <c r="C6" s="2" t="s">
        <v>2</v>
      </c>
      <c r="D6" s="2" t="s">
        <v>63</v>
      </c>
      <c r="E6" s="2" t="s">
        <v>64</v>
      </c>
      <c r="F6" s="2" t="s">
        <v>28</v>
      </c>
      <c r="G6" s="2" t="s">
        <v>65</v>
      </c>
      <c r="H6" s="2" t="s">
        <v>66</v>
      </c>
      <c r="I6" s="2" t="s">
        <v>1</v>
      </c>
    </row>
    <row r="7" spans="2:9">
      <c r="B7" s="28" t="s">
        <v>34</v>
      </c>
      <c r="C7" s="29">
        <v>6</v>
      </c>
      <c r="D7" s="29">
        <v>58644</v>
      </c>
      <c r="E7" s="29">
        <v>13008</v>
      </c>
      <c r="F7" s="29">
        <v>52480</v>
      </c>
      <c r="G7" s="29">
        <v>65488</v>
      </c>
      <c r="H7" s="29">
        <v>124132</v>
      </c>
      <c r="I7" s="28" t="s">
        <v>67</v>
      </c>
    </row>
    <row r="8" spans="2:9">
      <c r="B8" s="28" t="s">
        <v>36</v>
      </c>
      <c r="C8" s="29">
        <v>3</v>
      </c>
      <c r="D8" s="29">
        <v>10528</v>
      </c>
      <c r="E8" s="29">
        <v>3061</v>
      </c>
      <c r="F8" s="29">
        <v>27329</v>
      </c>
      <c r="G8" s="29">
        <v>30390</v>
      </c>
      <c r="H8" s="29">
        <v>40918</v>
      </c>
      <c r="I8" s="28" t="s">
        <v>68</v>
      </c>
    </row>
    <row r="9" spans="2:9" ht="26">
      <c r="B9" s="28" t="s">
        <v>38</v>
      </c>
      <c r="C9" s="29">
        <v>7</v>
      </c>
      <c r="D9" s="29">
        <v>25000</v>
      </c>
      <c r="E9" s="29">
        <v>0</v>
      </c>
      <c r="F9" s="29">
        <v>0</v>
      </c>
      <c r="G9" s="29">
        <v>0</v>
      </c>
      <c r="H9" s="29">
        <v>25000</v>
      </c>
      <c r="I9" s="28" t="s">
        <v>69</v>
      </c>
    </row>
    <row r="10" spans="2:9">
      <c r="B10" s="30" t="s">
        <v>70</v>
      </c>
      <c r="C10" s="31">
        <f t="shared" ref="C10:H10" si="0">SUM(C7:C9)</f>
        <v>16</v>
      </c>
      <c r="D10" s="31">
        <f t="shared" si="0"/>
        <v>94172</v>
      </c>
      <c r="E10" s="31">
        <f t="shared" si="0"/>
        <v>16069</v>
      </c>
      <c r="F10" s="31">
        <f t="shared" si="0"/>
        <v>79809</v>
      </c>
      <c r="G10" s="31">
        <f t="shared" si="0"/>
        <v>95878</v>
      </c>
      <c r="H10" s="31">
        <f t="shared" si="0"/>
        <v>190050</v>
      </c>
      <c r="I10" s="30"/>
    </row>
    <row r="11" spans="2:9">
      <c r="B11" s="3"/>
      <c r="C11" s="3"/>
      <c r="D11" s="3"/>
      <c r="E11" s="3"/>
      <c r="F11" s="3"/>
      <c r="G11" s="3"/>
      <c r="H11" s="3"/>
      <c r="I11" s="3"/>
    </row>
    <row r="12" spans="2:9" ht="14.5">
      <c r="B12" s="34" t="s">
        <v>71</v>
      </c>
      <c r="C12" s="34"/>
      <c r="D12" s="34"/>
      <c r="E12" s="34"/>
      <c r="F12" s="34"/>
      <c r="G12" s="34"/>
      <c r="H12" s="34"/>
      <c r="I12" s="34"/>
    </row>
    <row r="13" spans="2:9" ht="34" customHeight="1">
      <c r="B13" s="2" t="s">
        <v>72</v>
      </c>
      <c r="C13" s="2" t="s">
        <v>62</v>
      </c>
      <c r="D13" s="2" t="s">
        <v>73</v>
      </c>
      <c r="E13" s="2" t="s">
        <v>64</v>
      </c>
      <c r="F13" s="2" t="s">
        <v>74</v>
      </c>
      <c r="G13" s="2" t="s">
        <v>70</v>
      </c>
      <c r="H13" s="2" t="s">
        <v>75</v>
      </c>
      <c r="I13" s="2" t="s">
        <v>76</v>
      </c>
    </row>
    <row r="14" spans="2:9">
      <c r="B14" s="28" t="s">
        <v>77</v>
      </c>
      <c r="C14" s="28" t="s">
        <v>34</v>
      </c>
      <c r="D14" s="29">
        <v>21224</v>
      </c>
      <c r="E14" s="29">
        <v>3509</v>
      </c>
      <c r="F14" s="29">
        <v>17915</v>
      </c>
      <c r="G14" s="29">
        <v>42648</v>
      </c>
      <c r="H14" s="29">
        <v>52</v>
      </c>
      <c r="I14" s="28" t="s">
        <v>78</v>
      </c>
    </row>
    <row r="15" spans="2:9">
      <c r="B15" s="28" t="s">
        <v>79</v>
      </c>
      <c r="C15" s="28" t="s">
        <v>36</v>
      </c>
      <c r="D15" s="29">
        <v>4349</v>
      </c>
      <c r="E15" s="29">
        <v>1261</v>
      </c>
      <c r="F15" s="29">
        <v>10855</v>
      </c>
      <c r="G15" s="29">
        <v>16465</v>
      </c>
      <c r="H15" s="29">
        <v>13</v>
      </c>
      <c r="I15" s="28" t="s">
        <v>78</v>
      </c>
    </row>
    <row r="16" spans="2:9">
      <c r="B16" s="28" t="s">
        <v>80</v>
      </c>
      <c r="C16" s="28" t="s">
        <v>34</v>
      </c>
      <c r="D16" s="29">
        <v>16949</v>
      </c>
      <c r="E16" s="29">
        <v>3000</v>
      </c>
      <c r="F16" s="29">
        <v>12472</v>
      </c>
      <c r="G16" s="29">
        <v>32421</v>
      </c>
      <c r="H16" s="29">
        <v>40</v>
      </c>
      <c r="I16" s="28" t="s">
        <v>78</v>
      </c>
    </row>
    <row r="17" spans="2:9">
      <c r="B17" s="28" t="s">
        <v>81</v>
      </c>
      <c r="C17" s="28" t="s">
        <v>36</v>
      </c>
      <c r="D17" s="29">
        <v>4209</v>
      </c>
      <c r="E17" s="29">
        <v>1611</v>
      </c>
      <c r="F17" s="29">
        <v>8914</v>
      </c>
      <c r="G17" s="29">
        <v>14734</v>
      </c>
      <c r="H17" s="29">
        <v>12</v>
      </c>
      <c r="I17" s="28" t="s">
        <v>78</v>
      </c>
    </row>
    <row r="18" spans="2:9">
      <c r="B18" s="28" t="s">
        <v>82</v>
      </c>
      <c r="C18" s="28" t="s">
        <v>34</v>
      </c>
      <c r="D18" s="29">
        <v>8157</v>
      </c>
      <c r="E18" s="29">
        <v>955</v>
      </c>
      <c r="F18" s="29">
        <v>8294</v>
      </c>
      <c r="G18" s="29">
        <v>17406</v>
      </c>
      <c r="H18" s="29">
        <v>16</v>
      </c>
      <c r="I18" s="28" t="s">
        <v>78</v>
      </c>
    </row>
    <row r="19" spans="2:9">
      <c r="B19" s="28" t="s">
        <v>83</v>
      </c>
      <c r="C19" s="28" t="s">
        <v>36</v>
      </c>
      <c r="D19" s="29">
        <v>1970</v>
      </c>
      <c r="E19" s="29">
        <v>189</v>
      </c>
      <c r="F19" s="29">
        <v>7560</v>
      </c>
      <c r="G19" s="29">
        <v>9719</v>
      </c>
      <c r="H19" s="29">
        <v>3</v>
      </c>
      <c r="I19" s="28" t="s">
        <v>78</v>
      </c>
    </row>
    <row r="20" spans="2:9">
      <c r="B20" s="28" t="s">
        <v>84</v>
      </c>
      <c r="C20" s="28" t="s">
        <v>34</v>
      </c>
      <c r="D20" s="29">
        <v>1236</v>
      </c>
      <c r="E20" s="29">
        <v>943</v>
      </c>
      <c r="F20" s="29">
        <v>1986</v>
      </c>
      <c r="G20" s="29">
        <v>4165</v>
      </c>
      <c r="H20" s="29">
        <v>5</v>
      </c>
      <c r="I20" s="28" t="s">
        <v>78</v>
      </c>
    </row>
    <row r="21" spans="2:9">
      <c r="B21" s="28" t="s">
        <v>85</v>
      </c>
      <c r="C21" s="28" t="s">
        <v>34</v>
      </c>
      <c r="D21" s="29">
        <v>3519</v>
      </c>
      <c r="E21" s="29">
        <v>1374</v>
      </c>
      <c r="F21" s="29">
        <v>4591</v>
      </c>
      <c r="G21" s="29">
        <v>9484</v>
      </c>
      <c r="H21" s="29">
        <v>6</v>
      </c>
      <c r="I21" s="28" t="s">
        <v>78</v>
      </c>
    </row>
    <row r="22" spans="2:9">
      <c r="B22" s="28" t="s">
        <v>85</v>
      </c>
      <c r="C22" s="28" t="s">
        <v>34</v>
      </c>
      <c r="D22" s="29">
        <v>7559</v>
      </c>
      <c r="E22" s="29">
        <v>3227</v>
      </c>
      <c r="F22" s="29">
        <v>7222</v>
      </c>
      <c r="G22" s="29">
        <v>18008</v>
      </c>
      <c r="H22" s="29">
        <v>16</v>
      </c>
      <c r="I22" s="28" t="s">
        <v>78</v>
      </c>
    </row>
    <row r="23" spans="2:9">
      <c r="B23" s="3"/>
      <c r="C23" s="3"/>
      <c r="D23" s="3"/>
      <c r="E23" s="3"/>
      <c r="F23" s="3"/>
      <c r="G23" s="3"/>
      <c r="H23" s="3"/>
      <c r="I23" s="3"/>
    </row>
    <row r="24" spans="2:9" ht="54" customHeight="1">
      <c r="B24" s="44" t="s">
        <v>86</v>
      </c>
      <c r="C24" s="45"/>
      <c r="D24" s="45"/>
      <c r="E24" s="45"/>
      <c r="F24" s="45"/>
      <c r="G24" s="45"/>
      <c r="H24" s="45"/>
      <c r="I24" s="45"/>
    </row>
    <row r="25" spans="2:9">
      <c r="B25" s="45"/>
      <c r="C25" s="45"/>
      <c r="D25" s="45"/>
      <c r="E25" s="45"/>
      <c r="F25" s="45"/>
      <c r="G25" s="45"/>
      <c r="H25" s="45"/>
      <c r="I25" s="45"/>
    </row>
    <row r="26" spans="2:9">
      <c r="B26" s="45"/>
      <c r="C26" s="45"/>
      <c r="D26" s="45"/>
      <c r="E26" s="45"/>
      <c r="F26" s="45"/>
      <c r="G26" s="45"/>
      <c r="H26" s="45"/>
      <c r="I26" s="45"/>
    </row>
    <row r="27" spans="2:9">
      <c r="B27" s="45"/>
      <c r="C27" s="45"/>
      <c r="D27" s="45"/>
      <c r="E27" s="45"/>
      <c r="F27" s="45"/>
      <c r="G27" s="45"/>
      <c r="H27" s="45"/>
      <c r="I27" s="45"/>
    </row>
  </sheetData>
  <mergeCells count="5">
    <mergeCell ref="B1:I2"/>
    <mergeCell ref="B3:I3"/>
    <mergeCell ref="B5:I5"/>
    <mergeCell ref="B12:I12"/>
    <mergeCell ref="B24:I27"/>
  </mergeCells>
  <pageMargins left="0.7" right="0.7" top="0.75" bottom="0.75" header="0.3" footer="0.3"/>
  <pageSetup paperSize="142" scale="1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18"/>
  <sheetViews>
    <sheetView showGridLines="0" workbookViewId="0">
      <selection activeCell="D10" sqref="D10"/>
    </sheetView>
  </sheetViews>
  <sheetFormatPr defaultRowHeight="13"/>
  <cols>
    <col min="1" max="1" width="2.58203125" style="1" customWidth="1"/>
    <col min="2" max="2" width="18.58203125" style="1" customWidth="1"/>
    <col min="3" max="3" width="28.58203125" style="1" customWidth="1"/>
    <col min="4" max="4" width="65.58203125" style="1" customWidth="1"/>
    <col min="5" max="5" width="55.58203125" style="1" customWidth="1"/>
    <col min="6" max="16384" width="8.6640625" style="1"/>
  </cols>
  <sheetData>
    <row r="1" spans="2:5">
      <c r="B1" s="33" t="s">
        <v>87</v>
      </c>
      <c r="C1" s="33"/>
      <c r="D1" s="33"/>
      <c r="E1" s="33"/>
    </row>
    <row r="2" spans="2:5">
      <c r="B2" s="33"/>
      <c r="C2" s="33"/>
      <c r="D2" s="33"/>
      <c r="E2" s="33"/>
    </row>
    <row r="3" spans="2:5">
      <c r="B3" s="3"/>
      <c r="C3" s="3"/>
      <c r="D3" s="3"/>
      <c r="E3" s="3"/>
    </row>
    <row r="4" spans="2:5" ht="14.5">
      <c r="B4" s="34" t="s">
        <v>88</v>
      </c>
      <c r="C4" s="34"/>
      <c r="D4" s="34"/>
      <c r="E4" s="34"/>
    </row>
    <row r="5" spans="2:5" ht="30" customHeight="1">
      <c r="B5" s="2" t="s">
        <v>5</v>
      </c>
      <c r="C5" s="2" t="s">
        <v>0</v>
      </c>
      <c r="D5" s="2" t="s">
        <v>89</v>
      </c>
      <c r="E5" s="2" t="s">
        <v>90</v>
      </c>
    </row>
    <row r="6" spans="2:5">
      <c r="B6" s="28" t="s">
        <v>91</v>
      </c>
      <c r="C6" s="28" t="s">
        <v>92</v>
      </c>
      <c r="D6" s="28" t="s">
        <v>93</v>
      </c>
      <c r="E6" s="32" t="s">
        <v>94</v>
      </c>
    </row>
    <row r="7" spans="2:5">
      <c r="B7" s="28" t="s">
        <v>95</v>
      </c>
      <c r="C7" s="28" t="s">
        <v>15</v>
      </c>
      <c r="D7" s="28" t="s">
        <v>96</v>
      </c>
      <c r="E7" s="32" t="s">
        <v>97</v>
      </c>
    </row>
    <row r="8" spans="2:5">
      <c r="B8" s="28" t="s">
        <v>95</v>
      </c>
      <c r="C8" s="28" t="s">
        <v>16</v>
      </c>
      <c r="D8" s="28" t="s">
        <v>98</v>
      </c>
      <c r="E8" s="32" t="s">
        <v>99</v>
      </c>
    </row>
    <row r="9" spans="2:5">
      <c r="B9" s="28" t="s">
        <v>95</v>
      </c>
      <c r="C9" s="28" t="s">
        <v>17</v>
      </c>
      <c r="D9" s="28" t="s">
        <v>100</v>
      </c>
      <c r="E9" s="32" t="s">
        <v>99</v>
      </c>
    </row>
    <row r="10" spans="2:5">
      <c r="B10" s="28" t="s">
        <v>95</v>
      </c>
      <c r="C10" s="28" t="s">
        <v>101</v>
      </c>
      <c r="D10" s="28" t="s">
        <v>102</v>
      </c>
      <c r="E10" s="32" t="s">
        <v>103</v>
      </c>
    </row>
    <row r="11" spans="2:5">
      <c r="B11" s="28" t="s">
        <v>104</v>
      </c>
      <c r="C11" s="28" t="s">
        <v>105</v>
      </c>
      <c r="D11" s="28" t="s">
        <v>106</v>
      </c>
      <c r="E11" s="32" t="s">
        <v>107</v>
      </c>
    </row>
    <row r="12" spans="2:5">
      <c r="B12" s="28" t="s">
        <v>104</v>
      </c>
      <c r="C12" s="28" t="s">
        <v>108</v>
      </c>
      <c r="D12" s="28" t="s">
        <v>109</v>
      </c>
      <c r="E12" s="32" t="s">
        <v>107</v>
      </c>
    </row>
    <row r="13" spans="2:5">
      <c r="B13" s="28" t="s">
        <v>104</v>
      </c>
      <c r="C13" s="28" t="s">
        <v>110</v>
      </c>
      <c r="D13" s="28" t="s">
        <v>111</v>
      </c>
      <c r="E13" s="32" t="s">
        <v>112</v>
      </c>
    </row>
    <row r="14" spans="2:5">
      <c r="B14" s="28" t="s">
        <v>3</v>
      </c>
      <c r="C14" s="28" t="s">
        <v>113</v>
      </c>
      <c r="D14" s="28" t="s">
        <v>114</v>
      </c>
      <c r="E14" s="32" t="s">
        <v>112</v>
      </c>
    </row>
    <row r="15" spans="2:5">
      <c r="B15" s="28" t="s">
        <v>115</v>
      </c>
      <c r="C15" s="28" t="s">
        <v>116</v>
      </c>
      <c r="D15" s="28" t="s">
        <v>117</v>
      </c>
      <c r="E15" s="32" t="s">
        <v>118</v>
      </c>
    </row>
    <row r="16" spans="2:5">
      <c r="B16" s="28" t="s">
        <v>115</v>
      </c>
      <c r="C16" s="28" t="s">
        <v>119</v>
      </c>
      <c r="D16" s="28" t="s">
        <v>120</v>
      </c>
      <c r="E16" s="32" t="s">
        <v>121</v>
      </c>
    </row>
    <row r="17" spans="2:5">
      <c r="B17" s="28" t="s">
        <v>122</v>
      </c>
      <c r="C17" s="28" t="s">
        <v>40</v>
      </c>
      <c r="D17" s="28" t="s">
        <v>123</v>
      </c>
      <c r="E17" s="32" t="s">
        <v>99</v>
      </c>
    </row>
    <row r="18" spans="2:5">
      <c r="B18" s="28" t="s">
        <v>124</v>
      </c>
      <c r="C18" s="28" t="s">
        <v>125</v>
      </c>
      <c r="D18" s="28" t="s">
        <v>126</v>
      </c>
      <c r="E18" s="32" t="s">
        <v>127</v>
      </c>
    </row>
  </sheetData>
  <mergeCells count="2">
    <mergeCell ref="B1:E2"/>
    <mergeCell ref="B4:E4"/>
  </mergeCells>
  <pageMargins left="0.7" right="0.7" top="0.75" bottom="0.75" header="0.3" footer="0.3"/>
  <pageSetup paperSize="142" scale="1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Cost Calculator</vt:lpstr>
      <vt:lpstr>Call Breakdown</vt:lpstr>
      <vt:lpstr>Run Evidence</vt:lpstr>
      <vt:lpstr>Definitions</vt:lpstr>
      <vt:lpstr>'Cost Calculator'!Print_Area</vt:lpstr>
      <vt:lpstr>Definitions!Print_Area</vt:lpstr>
      <vt:lpstr>'Run Evidence'!Print_Area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Sendi, Razan</dc:creator>
  <cp:lastModifiedBy>حنان بنت سعود بن ابراهيم بن عياد العصيمي</cp:lastModifiedBy>
  <dcterms:created xsi:type="dcterms:W3CDTF">2026-07-19T15:11:36Z</dcterms:created>
  <dcterms:modified xsi:type="dcterms:W3CDTF">2026-07-22T10:00:24Z</dcterms:modified>
</cp:coreProperties>
</file>