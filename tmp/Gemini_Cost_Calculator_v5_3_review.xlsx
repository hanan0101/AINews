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2640EBA-9EAC-4636-9EBF-9653219C1A8F}" xr6:coauthVersionLast="47" xr6:coauthVersionMax="47" xr10:uidLastSave="{00000000-0000-0000-0000-000000000000}"/>
  <bookViews>
    <workbookView xWindow="-110" yWindow="-110" windowWidth="19420" windowHeight="10300" tabRatio="500" xr2:uid="{00000000-000D-0000-FFFF-FFFF00000000}"/>
  </bookViews>
  <sheets>
    <sheet name="Cost Calculator"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6" i="1" l="1"/>
  <c r="D47" i="1" s="1"/>
  <c r="D45" i="1"/>
  <c r="D31" i="1"/>
  <c r="D32" i="1" s="1"/>
  <c r="D16" i="1"/>
  <c r="D48" i="1" l="1"/>
  <c r="D49" i="1"/>
  <c r="D33" i="1"/>
  <c r="D34" i="1"/>
  <c r="D53" i="1"/>
  <c r="D17" i="1"/>
  <c r="D54" i="1" l="1"/>
  <c r="D62" i="1"/>
  <c r="D18" i="1"/>
  <c r="D19" i="1"/>
  <c r="D55" i="1" l="1"/>
  <c r="D56" i="1"/>
  <c r="D67" i="1"/>
  <c r="D68" i="1"/>
  <c r="D57" i="1" l="1"/>
  <c r="D72" i="1"/>
  <c r="D73" i="1"/>
</calcChain>
</file>

<file path=xl/sharedStrings.xml><?xml version="1.0" encoding="utf-8"?>
<sst xmlns="http://schemas.openxmlformats.org/spreadsheetml/2006/main" count="236" uniqueCount="136">
  <si>
    <t>AI Newsletter – Gemini Cost Calculation (Weekly Basis)</t>
  </si>
  <si>
    <t>Scope: Gemini API costs only. Recurring weekly usage is modeled separately from occasional, update-triggered developer testing.</t>
  </si>
  <si>
    <t>1. LLM PROVIDER &amp; USAGE – Selection &amp; Supporting</t>
  </si>
  <si>
    <t>Attribute</t>
  </si>
  <si>
    <t>Unit</t>
  </si>
  <si>
    <t>Calculation / Output</t>
  </si>
  <si>
    <t>Notes</t>
  </si>
  <si>
    <t>LLM Provider</t>
  </si>
  <si>
    <t>Text</t>
  </si>
  <si>
    <t>Google</t>
  </si>
  <si>
    <t>LLM Model</t>
  </si>
  <si>
    <t>gemini-3.5-flash</t>
  </si>
  <si>
    <t>Selects news, courses and movies</t>
  </si>
  <si>
    <t>Equivalent Runs per Week</t>
  </si>
  <si>
    <t>Runs</t>
  </si>
  <si>
    <t>Equals 1 admin weekly generation (full run) + 2 x 0.5 admin failed attempts/single fetches per week (each at half a run). PRELIMINARY ASSUMPTION - revisit once real failure/single-fetch frequency is logged. Keep this value the same across all 3 provider sections.</t>
  </si>
  <si>
    <t>Calls per Run</t>
  </si>
  <si>
    <t>Calls</t>
  </si>
  <si>
    <t>Average Input Tokens per Call</t>
  </si>
  <si>
    <t>Tokens</t>
  </si>
  <si>
    <t>Equals 58,644 total input tokens ÷ 6 calls in one run</t>
  </si>
  <si>
    <t>Average Output Tokens per Call</t>
  </si>
  <si>
    <t>Includes thinking tokens: (visible 13,008 + thinking 52,480) ÷ 6 calls = 10,914.67. Gemini bills thinking as output.</t>
  </si>
  <si>
    <t>Input Price per 1M Tokens</t>
  </si>
  <si>
    <t>USD/1M</t>
  </si>
  <si>
    <t>Standard paid rate; verified 2026-07-22</t>
  </si>
  <si>
    <t>Output Price per 1M Tokens</t>
  </si>
  <si>
    <t>Includes thinking tokens</t>
  </si>
  <si>
    <t>Usage Buffer</t>
  </si>
  <si>
    <t>%</t>
  </si>
  <si>
    <t>Global buffer – applied once to the combined total in Section 4 and once to occasional costs in Section 5</t>
  </si>
  <si>
    <t>Cost per Full Run</t>
  </si>
  <si>
    <t>USD</t>
  </si>
  <si>
    <t>Calculated: (Avg Input × Calls) × Input Price + (Avg Output × Calls) × Output Price</t>
  </si>
  <si>
    <t>Estimated Weekly Cost (excl. buffer)</t>
  </si>
  <si>
    <t>USD/Week</t>
  </si>
  <si>
    <t>Calculated: Cost per run × Equivalent Runs/Week</t>
  </si>
  <si>
    <t>Estimated Monthly Cost (excl. buffer)</t>
  </si>
  <si>
    <t>USD/Month</t>
  </si>
  <si>
    <t>Calculated: Weekly × 52/12</t>
  </si>
  <si>
    <t>Estimated Annual Cost (excl. buffer)</t>
  </si>
  <si>
    <t>USD/Year</t>
  </si>
  <si>
    <t>Calculated: Weekly × 52</t>
  </si>
  <si>
    <t>2. LLM PROVIDER &amp; USAGE – Arabic Rewrite</t>
  </si>
  <si>
    <t>gemini-3.1-pro-preview</t>
  </si>
  <si>
    <t>Rewrites selected items into Arabic</t>
  </si>
  <si>
    <t>Equals 10,528 total input tokens ÷ 3 calls in one run</t>
  </si>
  <si>
    <t>Includes thinking tokens: (visible 3,061 + thinking 27,329) ÷ 3 calls = 10,130. Gemini bills thinking as output.</t>
  </si>
  <si>
    <t>Verified 2026-07-22, below 200k input tokens</t>
  </si>
  <si>
    <t>3. EMBEDDING PROVIDER &amp; USAGE</t>
  </si>
  <si>
    <t>Embedding Provider</t>
  </si>
  <si>
    <t>Embedding Model</t>
  </si>
  <si>
    <t>gemini-embedding-001</t>
  </si>
  <si>
    <t>Semantic memory / deduplication</t>
  </si>
  <si>
    <t>Tokens per Run</t>
  </si>
  <si>
    <t>Estimated – the SDK records embedded-item count, not token count</t>
  </si>
  <si>
    <t>Initial Tokens to Embed (one-time)</t>
  </si>
  <si>
    <t>Not applicable – no bulk initial embedding pass; embedding is recurring, per run, only</t>
  </si>
  <si>
    <t>Embedding Price per 1M Tokens</t>
  </si>
  <si>
    <t>Verified 2026-07-22</t>
  </si>
  <si>
    <t>One-Time Initial Embedding Cost</t>
  </si>
  <si>
    <t>Calculated: Initial tokens × embedding rate – evaluates to 0 here</t>
  </si>
  <si>
    <t>Calculated: Tokens per run × embedding rate</t>
  </si>
  <si>
    <t>4. TOTAL COST SUMMARY – Recurring</t>
  </si>
  <si>
    <t>Cost Metric</t>
  </si>
  <si>
    <t>Combined Cost per Full Run (all 3 models)</t>
  </si>
  <si>
    <t>Calculated: Flash + Pro-preview + Embedding – also the base rate for Section 5</t>
  </si>
  <si>
    <t>Total Weekly Cost incl. Buffer</t>
  </si>
  <si>
    <t>Calculated: Combined cost × Equivalent Runs/Week × (1+Buffer) – recurring only</t>
  </si>
  <si>
    <t>Total Monthly Recurring Cost incl. Buffer</t>
  </si>
  <si>
    <t>Total Annual Recurring Cost incl. Buffer</t>
  </si>
  <si>
    <t>Estimated First-Year Cost (recurring)</t>
  </si>
  <si>
    <t>Calculated: Annual recurring + one-time initial embedding – excludes occasional developer testing</t>
  </si>
  <si>
    <t>5. OCCASIONAL COSTS – Developer Verification Testing</t>
  </si>
  <si>
    <t>Full-Run Equivalent per Test</t>
  </si>
  <si>
    <t>Factor</t>
  </si>
  <si>
    <t>A verification test runs the full pipeline – not a partial run</t>
  </si>
  <si>
    <t>Cost per Verification Test (incl. buffer)</t>
  </si>
  <si>
    <t>USD/Test</t>
  </si>
  <si>
    <t>Calculated: Combined cost per run × Full-Run Equivalent × (1+Buffer)</t>
  </si>
  <si>
    <t>Trigger</t>
  </si>
  <si>
    <t>Deployment of a new fix or feature</t>
  </si>
  <si>
    <t>Not scheduled and not weekly – occurs only when the code changes</t>
  </si>
  <si>
    <t>Expected Frequency</t>
  </si>
  <si>
    <t>Irregular – more frequent during initial build-out, tapering off as the system stabilizes</t>
  </si>
  <si>
    <t>Multiply Cost per Verification Test by however many updates you expect this period</t>
  </si>
  <si>
    <t>Expected Verification Tests – Year 1 (build-out)</t>
  </si>
  <si>
    <t>Tests/Year</t>
  </si>
  <si>
    <t>PRELIMINARY ASSUMPTION – revisit quarterly against the actual count logged</t>
  </si>
  <si>
    <t>Expected Verification Tests – Steady State (Year 2+)</t>
  </si>
  <si>
    <t>Occasional Cost – Year 1</t>
  </si>
  <si>
    <t>Calculated: Cost per Test × Expected Tests – Year 1</t>
  </si>
  <si>
    <t>Occasional Cost – Steady State</t>
  </si>
  <si>
    <t>Calculated: Cost per Test × Expected Tests – Steady State</t>
  </si>
  <si>
    <t>5a. FULL BUDGET (Recurring + Occasional Combined)</t>
  </si>
  <si>
    <t>Full Estimated Budget – Year 1</t>
  </si>
  <si>
    <t>Calculated: Recurring Annual + Occasional (Year 1)</t>
  </si>
  <si>
    <t>Full Estimated Budget – Steady State (Year 2+)</t>
  </si>
  <si>
    <t>Calculated: Recurring Annual + Occasional (Steady State)</t>
  </si>
  <si>
    <t>Scope: Gemini API costs only. Excludes Exa, SearXNG hosting, Docker/servers, databases, storage, networking, and developer labor. End users reading the newsletter do not trigger Gemini; only admin generation and failed admin attempts are recurring. Developer verification testing is occasional and update-triggered (Section 5). The Equivalent Runs per Week value (2) must be kept in sync manually across Sections 1, 2 and 3.</t>
  </si>
  <si>
    <t>Definitions, Assumptions &amp; Sources</t>
  </si>
  <si>
    <t>Group</t>
  </si>
  <si>
    <t>Definition / Assumption</t>
  </si>
  <si>
    <t>Recurring Usage</t>
  </si>
  <si>
    <t>Equals 1 admin weekly generation (full run) + 2 x 0.5 admin failed attempts/single fetches per week (each at half a run). PRELIMINARY ASSUMPTION - revisit once real frequency is logged. Entered independently in Sections 1, 2 and 3 - keep the three values in sync manually.</t>
  </si>
  <si>
    <t>LLM</t>
  </si>
  <si>
    <t>Average Input/Output Tokens per Call</t>
  </si>
  <si>
    <t>Matches the template's own wording exactly. Calculated as the total tokens measured for that role in one full run, divided by the number of calls in that run. Cost per Full Run multiplies this average back by Calls per Run to recover the true total.</t>
  </si>
  <si>
    <t>Includes thinking tokens folded in, since Gemini bills thinking as output. See each row's Notes for the visible + thinking breakdown used to build the average.</t>
  </si>
  <si>
    <t>Allowance for spikes, retries and estimation variance; applied once to the recurring total and once to each occasional test.</t>
  </si>
  <si>
    <t>Occasional Costs</t>
  </si>
  <si>
    <t>Developer verification testing</t>
  </si>
  <si>
    <t>A full pipeline run (not a partial run) triggered manually whenever a code fix or update needs to be confirmed. Irregular, not weekly.</t>
  </si>
  <si>
    <t>Expected Verification Tests - Year 1</t>
  </si>
  <si>
    <t>Planning assumption for the build-out phase, when updates and fixes are frequent. Default: 10/year. Revisit quarterly against the actual logged count.</t>
  </si>
  <si>
    <t>Expected Verification Tests - Steady State</t>
  </si>
  <si>
    <t>Planning assumption once the system is stable and updates are rare. Default: 3/year. Revisit quarterly against the actual logged count.</t>
  </si>
  <si>
    <t>Full Estimated Budget</t>
  </si>
  <si>
    <t>Recurring Annual Cost + Occasional Cost (Year 1 or Steady State) - the complete picture to share with stakeholders.</t>
  </si>
  <si>
    <t>Embedding</t>
  </si>
  <si>
    <t>Recurring embedding volume consumed each pipeline run (estimated).</t>
  </si>
  <si>
    <t>Initial Tokens to Embed</t>
  </si>
  <si>
    <t>One-time bulk embedding volume; not applicable to this system - embedding here is recurring only.</t>
  </si>
  <si>
    <t>Both</t>
  </si>
  <si>
    <t>Price per 1M Tokens</t>
  </si>
  <si>
    <t>Current provider unit price for the selected model, copied from the provider's public pricing page.</t>
  </si>
  <si>
    <t>Scope</t>
  </si>
  <si>
    <t>Provider</t>
  </si>
  <si>
    <t>Gemini only. OpenAI is excluded from every calculation.</t>
  </si>
  <si>
    <t>Exclusions</t>
  </si>
  <si>
    <t>Exa, infrastructure, databases, storage, network and developer labor are excluded.</t>
  </si>
  <si>
    <t>Pricing</t>
  </si>
  <si>
    <t>Verified</t>
  </si>
  <si>
    <t>All unit prices verified 2026-07-22. Source: https://ai.google.dev/gemini-api/docs/pricing</t>
  </si>
  <si>
    <t>Equals 1 admin weekly generation (full run) + 2 x 0.5 admin failed attempts/single fetches per week. (This is a preliminary assumption, giving the user flexibility for a single-fetch retry. It also leaves room to run a full fetch again instead, depending on what the failure needs.)</t>
  </si>
  <si>
    <t>Equals 1 admin weekly generation (full run) + 2 x 0.5 admin failed attempts/single fetches, or a single rewrite. (This is a preliminary assumption, giving the user flexibility for a single-fetch retry. It also leaves room to run a full fetch again instead, depending on what the failure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</si>
</sst>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1" x14ac:knownFonts="1">
    <font>
      <sz val="11"/>
      <color theme="1"/>
      <name val="Calibri"/>
      <family val="2"/>
      <charset val="1"/>
    </font>
    <font>
      <b/>
      <sz val="18"/>
      <color rgb="FFFFFFFF"/>
      <name val="Calibri"/>
      <charset val="1"/>
    </font>
    <font>
      <i/>
      <sz val="10"/>
      <color rgb="FF5B677A"/>
      <name val="Calibri"/>
      <charset val="1"/>
    </font>
    <font>
      <b/>
      <sz val="12"/>
      <color rgb="FF102A43"/>
      <name val="Calibri"/>
      <charset val="1"/>
    </font>
    <font>
      <b/>
      <sz val="11"/>
      <color rgb="FF102A43"/>
      <name val="Calibri"/>
      <charset val="1"/>
    </font>
    <font>
      <sz val="9"/>
      <color rgb="FF5B677A"/>
      <name val="Calibri"/>
      <charset val="1"/>
    </font>
    <font>
      <sz val="11"/>
      <color rgb="FF000000"/>
      <name val="Calibri"/>
      <charset val="1"/>
    </font>
    <font>
      <sz val="11"/>
      <color rgb="FF102A43"/>
      <name val="Calibri"/>
      <charset val="1"/>
    </font>
    <font>
      <b/>
      <sz val="10"/>
      <color rgb="FF102A43"/>
      <name val="Calibri"/>
      <charset val="1"/>
    </font>
    <font>
      <sz val="10"/>
      <color rgb="FF102A43"/>
      <name val="Calibri"/>
      <charset val="1"/>
    </font>
    <font>
      <sz val="10"/>
      <color rgb="FF5B677A"/>
      <name val="Calibri"/>
      <charset val="1"/>
    </font>
  </fonts>
  <fills count="4">
    <fill>
      <patternFill patternType="none"/>
    </fill>
    <fill>
      <patternFill patternType="gray125"/>
    </fill>
    <fill>
      <patternFill patternType="solid">
        <fgColor rgb="FF102A43"/>
        <bgColor rgb="FF333333"/>
      </patternFill>
    </fill>
    <fill>
      <patternFill patternType="solid">
        <fgColor rgb="FFF4F6F8"/>
        <bgColor rgb="FFFFFFFF"/>
      </patternFill>
    </fill>
  </fills>
  <borders count="2">
    <border>
      <left/>
      <right/>
      <top/>
      <bottom/>
      <diagonal/>
    </border>
    <border>
      <left style="thin">
        <color rgb="FFD9DEE4"/>
      </left>
      <right style="thin">
        <color rgb="FFD9DEE4"/>
      </right>
      <top style="thin">
        <color rgb="FFD9DEE4"/>
      </top>
      <bottom style="thin">
        <color rgb="FFD9DEE4"/>
      </bottom>
      <diagonal/>
    </border>
  </borders>
  <cellStyleXfs count="1">
    <xf numFmtId="0" fontId="0" fillId="0" borderId="0"/>
  </cellStyleXfs>
  <cellXfs count="17">
    <xf numFmtId="0" fontId="0" fillId="0" borderId="0" xfId="0"/>
    <xf numFmtId="0" fontId="5" fillId="0" borderId="0" xfId="0" applyFont="1" applyAlignment="1">
      <alignment horizontal="left" vertical="center" wrapText="1"/>
    </xf>
    <xf numFmtId="0" fontId="3" fillId="3"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3" fontId="6" fillId="0" borderId="1" xfId="0" applyNumberFormat="1" applyFont="1" applyBorder="1" applyAlignment="1">
      <alignment horizontal="center" vertical="center" wrapText="1"/>
    </xf>
    <xf numFmtId="9" fontId="6"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8"/>
      <rgbColor rgb="FFCCFFFF"/>
      <rgbColor rgb="FF660066"/>
      <rgbColor rgb="FFFF8080"/>
      <rgbColor rgb="FF0066CC"/>
      <rgbColor rgb="FFD9DE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77A"/>
      <rgbColor rgb="FF969696"/>
      <rgbColor rgb="FF102A43"/>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75"/>
  <sheetViews>
    <sheetView tabSelected="1" topLeftCell="A39" zoomScaleNormal="100" workbookViewId="0">
      <selection activeCell="C67" sqref="C67"/>
    </sheetView>
  </sheetViews>
  <sheetFormatPr defaultColWidth="8.6328125" defaultRowHeight="14.5" x14ac:dyDescent="0.35"/>
  <cols>
    <col min="1" max="1" width="3" customWidth="1"/>
    <col min="2" max="2" width="34" customWidth="1"/>
    <col min="3" max="3" width="12" customWidth="1"/>
    <col min="4" max="4" width="34" customWidth="1"/>
    <col min="5" max="5" width="44" customWidth="1"/>
  </cols>
  <sheetData>
    <row r="1" spans="2:5" ht="21.75" customHeight="1" x14ac:dyDescent="0.35">
      <c r="B1" s="4" t="s">
        <v>0</v>
      </c>
      <c r="C1" s="4"/>
      <c r="D1" s="4"/>
      <c r="E1" s="4"/>
    </row>
    <row r="2" spans="2:5" ht="21.75" customHeight="1" x14ac:dyDescent="0.35">
      <c r="B2" s="4"/>
      <c r="C2" s="4"/>
      <c r="D2" s="4"/>
      <c r="E2" s="4"/>
    </row>
    <row r="3" spans="2:5" ht="15.75" customHeight="1" x14ac:dyDescent="0.35">
      <c r="B3" s="3" t="s">
        <v>1</v>
      </c>
      <c r="C3" s="3"/>
      <c r="D3" s="3"/>
      <c r="E3" s="3"/>
    </row>
    <row r="5" spans="2:5" ht="18" customHeight="1" x14ac:dyDescent="0.35">
      <c r="B5" s="2" t="s">
        <v>2</v>
      </c>
      <c r="C5" s="2"/>
      <c r="D5" s="2"/>
      <c r="E5" s="2"/>
    </row>
    <row r="6" spans="2:5" ht="19.5" customHeight="1" x14ac:dyDescent="0.35">
      <c r="B6" s="5" t="s">
        <v>3</v>
      </c>
      <c r="C6" s="5" t="s">
        <v>4</v>
      </c>
      <c r="D6" s="5" t="s">
        <v>5</v>
      </c>
      <c r="E6" s="5" t="s">
        <v>6</v>
      </c>
    </row>
    <row r="7" spans="2:5" ht="30" customHeight="1" x14ac:dyDescent="0.35">
      <c r="B7" s="6" t="s">
        <v>7</v>
      </c>
      <c r="C7" s="7" t="s">
        <v>8</v>
      </c>
      <c r="D7" s="8" t="s">
        <v>9</v>
      </c>
      <c r="E7" s="9"/>
    </row>
    <row r="8" spans="2:5" ht="30" customHeight="1" x14ac:dyDescent="0.35">
      <c r="B8" s="6" t="s">
        <v>10</v>
      </c>
      <c r="C8" s="7" t="s">
        <v>8</v>
      </c>
      <c r="D8" s="8" t="s">
        <v>11</v>
      </c>
      <c r="E8" s="9" t="s">
        <v>12</v>
      </c>
    </row>
    <row r="9" spans="2:5" ht="60" x14ac:dyDescent="0.35">
      <c r="B9" s="6" t="s">
        <v>13</v>
      </c>
      <c r="C9" s="7" t="s">
        <v>14</v>
      </c>
      <c r="D9" s="8">
        <v>2</v>
      </c>
      <c r="E9" s="9" t="s">
        <v>134</v>
      </c>
    </row>
    <row r="10" spans="2:5" ht="30" customHeight="1" x14ac:dyDescent="0.35">
      <c r="B10" s="6" t="s">
        <v>16</v>
      </c>
      <c r="C10" s="7" t="s">
        <v>17</v>
      </c>
      <c r="D10" s="8">
        <v>6</v>
      </c>
      <c r="E10" s="9"/>
    </row>
    <row r="11" spans="2:5" ht="30" customHeight="1" x14ac:dyDescent="0.35">
      <c r="B11" s="6" t="s">
        <v>18</v>
      </c>
      <c r="C11" s="7" t="s">
        <v>19</v>
      </c>
      <c r="D11" s="10">
        <v>9774</v>
      </c>
      <c r="E11" s="9" t="s">
        <v>20</v>
      </c>
    </row>
    <row r="12" spans="2:5" ht="30" customHeight="1" x14ac:dyDescent="0.35">
      <c r="B12" s="6" t="s">
        <v>21</v>
      </c>
      <c r="C12" s="7" t="s">
        <v>19</v>
      </c>
      <c r="D12" s="10">
        <v>10914.67</v>
      </c>
      <c r="E12" s="9" t="s">
        <v>22</v>
      </c>
    </row>
    <row r="13" spans="2:5" ht="30" customHeight="1" x14ac:dyDescent="0.35">
      <c r="B13" s="6" t="s">
        <v>23</v>
      </c>
      <c r="C13" s="7" t="s">
        <v>24</v>
      </c>
      <c r="D13" s="8">
        <v>1.5</v>
      </c>
      <c r="E13" s="9" t="s">
        <v>25</v>
      </c>
    </row>
    <row r="14" spans="2:5" ht="30" customHeight="1" x14ac:dyDescent="0.35">
      <c r="B14" s="6" t="s">
        <v>26</v>
      </c>
      <c r="C14" s="7" t="s">
        <v>24</v>
      </c>
      <c r="D14" s="8">
        <v>9</v>
      </c>
      <c r="E14" s="9" t="s">
        <v>27</v>
      </c>
    </row>
    <row r="15" spans="2:5" ht="30" customHeight="1" x14ac:dyDescent="0.35">
      <c r="B15" s="6" t="s">
        <v>28</v>
      </c>
      <c r="C15" s="7" t="s">
        <v>29</v>
      </c>
      <c r="D15" s="11">
        <v>0.2</v>
      </c>
      <c r="E15" s="9" t="s">
        <v>30</v>
      </c>
    </row>
    <row r="16" spans="2:5" ht="30" customHeight="1" x14ac:dyDescent="0.35">
      <c r="B16" s="6" t="s">
        <v>31</v>
      </c>
      <c r="C16" s="7" t="s">
        <v>32</v>
      </c>
      <c r="D16" s="12">
        <f>(D11*D10)/1000000*D13+(D12*D10)/1000000*D14</f>
        <v>0.67735818000000003</v>
      </c>
      <c r="E16" s="9" t="s">
        <v>33</v>
      </c>
    </row>
    <row r="17" spans="2:5" ht="30" customHeight="1" x14ac:dyDescent="0.35">
      <c r="B17" s="6" t="s">
        <v>34</v>
      </c>
      <c r="C17" s="7" t="s">
        <v>35</v>
      </c>
      <c r="D17" s="13">
        <f>D16*D9</f>
        <v>1.3547163600000001</v>
      </c>
      <c r="E17" s="9" t="s">
        <v>36</v>
      </c>
    </row>
    <row r="18" spans="2:5" ht="30" customHeight="1" x14ac:dyDescent="0.35">
      <c r="B18" s="6" t="s">
        <v>37</v>
      </c>
      <c r="C18" s="7" t="s">
        <v>38</v>
      </c>
      <c r="D18" s="13">
        <f>D17*52/12</f>
        <v>5.8704375600000001</v>
      </c>
      <c r="E18" s="9" t="s">
        <v>39</v>
      </c>
    </row>
    <row r="19" spans="2:5" ht="30" customHeight="1" x14ac:dyDescent="0.35">
      <c r="B19" s="6" t="s">
        <v>40</v>
      </c>
      <c r="C19" s="7" t="s">
        <v>41</v>
      </c>
      <c r="D19" s="13">
        <f>D17*52</f>
        <v>70.445250720000004</v>
      </c>
      <c r="E19" s="9" t="s">
        <v>42</v>
      </c>
    </row>
    <row r="21" spans="2:5" ht="18" customHeight="1" x14ac:dyDescent="0.35">
      <c r="B21" s="2" t="s">
        <v>43</v>
      </c>
      <c r="C21" s="2"/>
      <c r="D21" s="2"/>
      <c r="E21" s="2"/>
    </row>
    <row r="22" spans="2:5" ht="19.5" customHeight="1" x14ac:dyDescent="0.35">
      <c r="B22" s="5" t="s">
        <v>3</v>
      </c>
      <c r="C22" s="5" t="s">
        <v>4</v>
      </c>
      <c r="D22" s="5" t="s">
        <v>5</v>
      </c>
      <c r="E22" s="5" t="s">
        <v>6</v>
      </c>
    </row>
    <row r="23" spans="2:5" ht="30" customHeight="1" x14ac:dyDescent="0.35">
      <c r="B23" s="6" t="s">
        <v>7</v>
      </c>
      <c r="C23" s="7" t="s">
        <v>8</v>
      </c>
      <c r="D23" s="8" t="s">
        <v>9</v>
      </c>
      <c r="E23" s="9"/>
    </row>
    <row r="24" spans="2:5" ht="30" customHeight="1" x14ac:dyDescent="0.35">
      <c r="B24" s="6" t="s">
        <v>10</v>
      </c>
      <c r="C24" s="7" t="s">
        <v>8</v>
      </c>
      <c r="D24" s="8" t="s">
        <v>44</v>
      </c>
      <c r="E24" s="9" t="s">
        <v>45</v>
      </c>
    </row>
    <row r="25" spans="2:5" ht="60" x14ac:dyDescent="0.35">
      <c r="B25" s="6" t="s">
        <v>13</v>
      </c>
      <c r="C25" s="7" t="s">
        <v>14</v>
      </c>
      <c r="D25" s="8">
        <v>2</v>
      </c>
      <c r="E25" s="9" t="s">
        <v>135</v>
      </c>
    </row>
    <row r="26" spans="2:5" ht="30" customHeight="1" x14ac:dyDescent="0.35">
      <c r="B26" s="6" t="s">
        <v>16</v>
      </c>
      <c r="C26" s="7" t="s">
        <v>17</v>
      </c>
      <c r="D26" s="8">
        <v>3</v>
      </c>
      <c r="E26" s="9"/>
    </row>
    <row r="27" spans="2:5" ht="30" customHeight="1" x14ac:dyDescent="0.35">
      <c r="B27" s="6" t="s">
        <v>18</v>
      </c>
      <c r="C27" s="7" t="s">
        <v>19</v>
      </c>
      <c r="D27" s="10">
        <v>3509.33</v>
      </c>
      <c r="E27" s="9" t="s">
        <v>46</v>
      </c>
    </row>
    <row r="28" spans="2:5" ht="30" customHeight="1" x14ac:dyDescent="0.35">
      <c r="B28" s="6" t="s">
        <v>21</v>
      </c>
      <c r="C28" s="7" t="s">
        <v>19</v>
      </c>
      <c r="D28" s="10">
        <v>10130</v>
      </c>
      <c r="E28" s="9" t="s">
        <v>47</v>
      </c>
    </row>
    <row r="29" spans="2:5" ht="30" customHeight="1" x14ac:dyDescent="0.35">
      <c r="B29" s="6" t="s">
        <v>23</v>
      </c>
      <c r="C29" s="7" t="s">
        <v>24</v>
      </c>
      <c r="D29" s="8">
        <v>2</v>
      </c>
      <c r="E29" s="9" t="s">
        <v>48</v>
      </c>
    </row>
    <row r="30" spans="2:5" ht="30" customHeight="1" x14ac:dyDescent="0.35">
      <c r="B30" s="6" t="s">
        <v>26</v>
      </c>
      <c r="C30" s="7" t="s">
        <v>24</v>
      </c>
      <c r="D30" s="8">
        <v>12</v>
      </c>
      <c r="E30" s="9"/>
    </row>
    <row r="31" spans="2:5" ht="30" customHeight="1" x14ac:dyDescent="0.35">
      <c r="B31" s="6" t="s">
        <v>31</v>
      </c>
      <c r="C31" s="7" t="s">
        <v>32</v>
      </c>
      <c r="D31" s="12">
        <f>(D27*D26)/1000000*D29+(D28*D26)/1000000*D30</f>
        <v>0.38573597999999998</v>
      </c>
      <c r="E31" s="9" t="s">
        <v>33</v>
      </c>
    </row>
    <row r="32" spans="2:5" ht="30" customHeight="1" x14ac:dyDescent="0.35">
      <c r="B32" s="6" t="s">
        <v>34</v>
      </c>
      <c r="C32" s="7" t="s">
        <v>35</v>
      </c>
      <c r="D32" s="13">
        <f>D31*D25</f>
        <v>0.77147195999999996</v>
      </c>
      <c r="E32" s="9" t="s">
        <v>36</v>
      </c>
    </row>
    <row r="33" spans="2:5" ht="30" customHeight="1" x14ac:dyDescent="0.35">
      <c r="B33" s="6" t="s">
        <v>37</v>
      </c>
      <c r="C33" s="7" t="s">
        <v>38</v>
      </c>
      <c r="D33" s="13">
        <f>D32*52/12</f>
        <v>3.3430451599999995</v>
      </c>
      <c r="E33" s="9" t="s">
        <v>39</v>
      </c>
    </row>
    <row r="34" spans="2:5" ht="30" customHeight="1" x14ac:dyDescent="0.35">
      <c r="B34" s="6" t="s">
        <v>40</v>
      </c>
      <c r="C34" s="7" t="s">
        <v>41</v>
      </c>
      <c r="D34" s="13">
        <f>D32*52</f>
        <v>40.116541919999996</v>
      </c>
      <c r="E34" s="9" t="s">
        <v>42</v>
      </c>
    </row>
    <row r="36" spans="2:5" ht="18" customHeight="1" x14ac:dyDescent="0.35">
      <c r="B36" s="2" t="s">
        <v>49</v>
      </c>
      <c r="C36" s="2"/>
      <c r="D36" s="2"/>
      <c r="E36" s="2"/>
    </row>
    <row r="37" spans="2:5" ht="19.5" customHeight="1" x14ac:dyDescent="0.35">
      <c r="B37" s="5" t="s">
        <v>3</v>
      </c>
      <c r="C37" s="5" t="s">
        <v>4</v>
      </c>
      <c r="D37" s="5" t="s">
        <v>5</v>
      </c>
      <c r="E37" s="5" t="s">
        <v>6</v>
      </c>
    </row>
    <row r="38" spans="2:5" ht="30" customHeight="1" x14ac:dyDescent="0.35">
      <c r="B38" s="6" t="s">
        <v>50</v>
      </c>
      <c r="C38" s="7" t="s">
        <v>8</v>
      </c>
      <c r="D38" s="8" t="s">
        <v>9</v>
      </c>
      <c r="E38" s="9"/>
    </row>
    <row r="39" spans="2:5" ht="38.5" customHeight="1" x14ac:dyDescent="0.35">
      <c r="B39" s="6" t="s">
        <v>51</v>
      </c>
      <c r="C39" s="7" t="s">
        <v>8</v>
      </c>
      <c r="D39" s="8" t="s">
        <v>52</v>
      </c>
      <c r="E39" s="9" t="s">
        <v>53</v>
      </c>
    </row>
    <row r="40" spans="2:5" ht="93" customHeight="1" x14ac:dyDescent="0.35">
      <c r="B40" s="6" t="s">
        <v>13</v>
      </c>
      <c r="C40" s="7" t="s">
        <v>14</v>
      </c>
      <c r="D40" s="8">
        <v>2</v>
      </c>
      <c r="E40" s="9" t="s">
        <v>15</v>
      </c>
    </row>
    <row r="41" spans="2:5" ht="30" customHeight="1" x14ac:dyDescent="0.35">
      <c r="B41" s="6" t="s">
        <v>16</v>
      </c>
      <c r="C41" s="7" t="s">
        <v>17</v>
      </c>
      <c r="D41" s="8">
        <v>7</v>
      </c>
      <c r="E41" s="9"/>
    </row>
    <row r="42" spans="2:5" ht="30" customHeight="1" x14ac:dyDescent="0.35">
      <c r="B42" s="6" t="s">
        <v>54</v>
      </c>
      <c r="C42" s="7" t="s">
        <v>19</v>
      </c>
      <c r="D42" s="8">
        <v>25000</v>
      </c>
      <c r="E42" s="9" t="s">
        <v>55</v>
      </c>
    </row>
    <row r="43" spans="2:5" ht="30" customHeight="1" x14ac:dyDescent="0.35">
      <c r="B43" s="6" t="s">
        <v>56</v>
      </c>
      <c r="C43" s="7" t="s">
        <v>19</v>
      </c>
      <c r="D43" s="8">
        <v>0</v>
      </c>
      <c r="E43" s="9" t="s">
        <v>57</v>
      </c>
    </row>
    <row r="44" spans="2:5" ht="30" customHeight="1" x14ac:dyDescent="0.35">
      <c r="B44" s="6" t="s">
        <v>58</v>
      </c>
      <c r="C44" s="7" t="s">
        <v>24</v>
      </c>
      <c r="D44" s="8">
        <v>0.15</v>
      </c>
      <c r="E44" s="9" t="s">
        <v>59</v>
      </c>
    </row>
    <row r="45" spans="2:5" ht="30" customHeight="1" x14ac:dyDescent="0.35">
      <c r="B45" s="6" t="s">
        <v>60</v>
      </c>
      <c r="C45" s="7" t="s">
        <v>32</v>
      </c>
      <c r="D45" s="12">
        <f>D43/1000000*D44</f>
        <v>0</v>
      </c>
      <c r="E45" s="9" t="s">
        <v>61</v>
      </c>
    </row>
    <row r="46" spans="2:5" ht="30" customHeight="1" x14ac:dyDescent="0.35">
      <c r="B46" s="6" t="s">
        <v>31</v>
      </c>
      <c r="C46" s="7" t="s">
        <v>32</v>
      </c>
      <c r="D46" s="12">
        <f>D42/1000000*D44</f>
        <v>3.7499999999999999E-3</v>
      </c>
      <c r="E46" s="9" t="s">
        <v>62</v>
      </c>
    </row>
    <row r="47" spans="2:5" ht="30" customHeight="1" x14ac:dyDescent="0.35">
      <c r="B47" s="6" t="s">
        <v>34</v>
      </c>
      <c r="C47" s="7" t="s">
        <v>35</v>
      </c>
      <c r="D47" s="13">
        <f>D46*D40</f>
        <v>7.4999999999999997E-3</v>
      </c>
      <c r="E47" s="9" t="s">
        <v>36</v>
      </c>
    </row>
    <row r="48" spans="2:5" ht="30" customHeight="1" x14ac:dyDescent="0.35">
      <c r="B48" s="6" t="s">
        <v>37</v>
      </c>
      <c r="C48" s="7" t="s">
        <v>38</v>
      </c>
      <c r="D48" s="13">
        <f>D47*52/12</f>
        <v>3.2500000000000001E-2</v>
      </c>
      <c r="E48" s="9" t="s">
        <v>39</v>
      </c>
    </row>
    <row r="49" spans="2:5" ht="30" customHeight="1" x14ac:dyDescent="0.35">
      <c r="B49" s="6" t="s">
        <v>40</v>
      </c>
      <c r="C49" s="7" t="s">
        <v>41</v>
      </c>
      <c r="D49" s="13">
        <f>D47*52</f>
        <v>0.39</v>
      </c>
      <c r="E49" s="9" t="s">
        <v>42</v>
      </c>
    </row>
    <row r="51" spans="2:5" ht="18" customHeight="1" x14ac:dyDescent="0.35">
      <c r="B51" s="2" t="s">
        <v>63</v>
      </c>
      <c r="C51" s="2"/>
      <c r="D51" s="2"/>
      <c r="E51" s="2"/>
    </row>
    <row r="52" spans="2:5" ht="19.5" customHeight="1" x14ac:dyDescent="0.35">
      <c r="B52" s="5" t="s">
        <v>64</v>
      </c>
      <c r="C52" s="5" t="s">
        <v>4</v>
      </c>
      <c r="D52" s="5" t="s">
        <v>5</v>
      </c>
      <c r="E52" s="5" t="s">
        <v>6</v>
      </c>
    </row>
    <row r="53" spans="2:5" ht="30" customHeight="1" x14ac:dyDescent="0.35">
      <c r="B53" s="6" t="s">
        <v>65</v>
      </c>
      <c r="C53" s="7" t="s">
        <v>32</v>
      </c>
      <c r="D53" s="12">
        <f>D16+D31+D46</f>
        <v>1.0668441599999998</v>
      </c>
      <c r="E53" s="9" t="s">
        <v>66</v>
      </c>
    </row>
    <row r="54" spans="2:5" ht="30" customHeight="1" x14ac:dyDescent="0.35">
      <c r="B54" s="6" t="s">
        <v>67</v>
      </c>
      <c r="C54" s="7" t="s">
        <v>35</v>
      </c>
      <c r="D54" s="13">
        <f>D53*D9*(1+D15)</f>
        <v>2.5604259839999997</v>
      </c>
      <c r="E54" s="9" t="s">
        <v>68</v>
      </c>
    </row>
    <row r="55" spans="2:5" ht="30" customHeight="1" x14ac:dyDescent="0.35">
      <c r="B55" s="6" t="s">
        <v>69</v>
      </c>
      <c r="C55" s="7" t="s">
        <v>38</v>
      </c>
      <c r="D55" s="13">
        <f>D54*52/12</f>
        <v>11.095179263999997</v>
      </c>
      <c r="E55" s="9" t="s">
        <v>39</v>
      </c>
    </row>
    <row r="56" spans="2:5" ht="30" customHeight="1" x14ac:dyDescent="0.35">
      <c r="B56" s="6" t="s">
        <v>70</v>
      </c>
      <c r="C56" s="7" t="s">
        <v>41</v>
      </c>
      <c r="D56" s="13">
        <f>D54*52</f>
        <v>133.14215116799997</v>
      </c>
      <c r="E56" s="9" t="s">
        <v>42</v>
      </c>
    </row>
    <row r="57" spans="2:5" ht="30" customHeight="1" x14ac:dyDescent="0.35">
      <c r="B57" s="6" t="s">
        <v>71</v>
      </c>
      <c r="C57" s="7" t="s">
        <v>41</v>
      </c>
      <c r="D57" s="13">
        <f>D56+D45</f>
        <v>133.14215116799997</v>
      </c>
      <c r="E57" s="9" t="s">
        <v>72</v>
      </c>
    </row>
    <row r="59" spans="2:5" ht="18" customHeight="1" x14ac:dyDescent="0.35">
      <c r="B59" s="2" t="s">
        <v>73</v>
      </c>
      <c r="C59" s="2"/>
      <c r="D59" s="2"/>
      <c r="E59" s="2"/>
    </row>
    <row r="60" spans="2:5" ht="19.5" customHeight="1" x14ac:dyDescent="0.35">
      <c r="B60" s="5" t="s">
        <v>3</v>
      </c>
      <c r="C60" s="5" t="s">
        <v>4</v>
      </c>
      <c r="D60" s="5" t="s">
        <v>5</v>
      </c>
      <c r="E60" s="5" t="s">
        <v>6</v>
      </c>
    </row>
    <row r="61" spans="2:5" ht="30" customHeight="1" x14ac:dyDescent="0.35">
      <c r="B61" s="6" t="s">
        <v>74</v>
      </c>
      <c r="C61" s="7" t="s">
        <v>75</v>
      </c>
      <c r="D61" s="8">
        <v>1</v>
      </c>
      <c r="E61" s="9" t="s">
        <v>76</v>
      </c>
    </row>
    <row r="62" spans="2:5" ht="30" customHeight="1" x14ac:dyDescent="0.35">
      <c r="B62" s="6" t="s">
        <v>77</v>
      </c>
      <c r="C62" s="7" t="s">
        <v>78</v>
      </c>
      <c r="D62" s="12">
        <f>D53*D61*(1+D15)</f>
        <v>1.2802129919999998</v>
      </c>
      <c r="E62" s="9" t="s">
        <v>79</v>
      </c>
    </row>
    <row r="63" spans="2:5" ht="30" customHeight="1" x14ac:dyDescent="0.35">
      <c r="B63" s="6" t="s">
        <v>80</v>
      </c>
      <c r="C63" s="7" t="s">
        <v>8</v>
      </c>
      <c r="D63" s="8" t="s">
        <v>81</v>
      </c>
      <c r="E63" s="9" t="s">
        <v>82</v>
      </c>
    </row>
    <row r="64" spans="2:5" ht="30" customHeight="1" x14ac:dyDescent="0.35">
      <c r="B64" s="6" t="s">
        <v>83</v>
      </c>
      <c r="C64" s="7" t="s">
        <v>8</v>
      </c>
      <c r="D64" s="8" t="s">
        <v>84</v>
      </c>
      <c r="E64" s="9" t="s">
        <v>85</v>
      </c>
    </row>
    <row r="65" spans="2:5" ht="30" customHeight="1" x14ac:dyDescent="0.35">
      <c r="B65" s="6" t="s">
        <v>86</v>
      </c>
      <c r="C65" s="7" t="s">
        <v>87</v>
      </c>
      <c r="D65" s="8">
        <v>10</v>
      </c>
      <c r="E65" s="9" t="s">
        <v>88</v>
      </c>
    </row>
    <row r="66" spans="2:5" ht="30" customHeight="1" x14ac:dyDescent="0.35">
      <c r="B66" s="6" t="s">
        <v>89</v>
      </c>
      <c r="C66" s="7" t="s">
        <v>87</v>
      </c>
      <c r="D66" s="8">
        <v>3</v>
      </c>
      <c r="E66" s="9" t="s">
        <v>88</v>
      </c>
    </row>
    <row r="67" spans="2:5" ht="30" customHeight="1" x14ac:dyDescent="0.35">
      <c r="B67" s="6" t="s">
        <v>90</v>
      </c>
      <c r="C67" s="7" t="s">
        <v>41</v>
      </c>
      <c r="D67" s="13">
        <f>D62*D65</f>
        <v>12.802129919999999</v>
      </c>
      <c r="E67" s="9" t="s">
        <v>91</v>
      </c>
    </row>
    <row r="68" spans="2:5" ht="30" customHeight="1" x14ac:dyDescent="0.35">
      <c r="B68" s="6" t="s">
        <v>92</v>
      </c>
      <c r="C68" s="7" t="s">
        <v>41</v>
      </c>
      <c r="D68" s="13">
        <f>D62*D66</f>
        <v>3.8406389759999993</v>
      </c>
      <c r="E68" s="9" t="s">
        <v>93</v>
      </c>
    </row>
    <row r="70" spans="2:5" ht="18" customHeight="1" x14ac:dyDescent="0.35">
      <c r="B70" s="2" t="s">
        <v>94</v>
      </c>
      <c r="C70" s="2"/>
      <c r="D70" s="2"/>
      <c r="E70" s="2"/>
    </row>
    <row r="71" spans="2:5" ht="19.5" customHeight="1" x14ac:dyDescent="0.35">
      <c r="B71" s="5" t="s">
        <v>64</v>
      </c>
      <c r="C71" s="5" t="s">
        <v>4</v>
      </c>
      <c r="D71" s="5" t="s">
        <v>5</v>
      </c>
      <c r="E71" s="5" t="s">
        <v>6</v>
      </c>
    </row>
    <row r="72" spans="2:5" ht="30" customHeight="1" x14ac:dyDescent="0.35">
      <c r="B72" s="6" t="s">
        <v>95</v>
      </c>
      <c r="C72" s="7" t="s">
        <v>41</v>
      </c>
      <c r="D72" s="13">
        <f>D56+D67</f>
        <v>145.94428108799997</v>
      </c>
      <c r="E72" s="9" t="s">
        <v>96</v>
      </c>
    </row>
    <row r="73" spans="2:5" ht="30" customHeight="1" x14ac:dyDescent="0.35">
      <c r="B73" s="6" t="s">
        <v>97</v>
      </c>
      <c r="C73" s="7" t="s">
        <v>41</v>
      </c>
      <c r="D73" s="13">
        <f>D56+D68</f>
        <v>136.98279014399998</v>
      </c>
      <c r="E73" s="9" t="s">
        <v>98</v>
      </c>
    </row>
    <row r="75" spans="2:5" ht="39.75" customHeight="1" x14ac:dyDescent="0.35">
      <c r="B75" s="1" t="s">
        <v>99</v>
      </c>
      <c r="C75" s="1"/>
      <c r="D75" s="1"/>
      <c r="E75" s="1"/>
    </row>
  </sheetData>
  <mergeCells count="9">
    <mergeCell ref="B51:E51"/>
    <mergeCell ref="B59:E59"/>
    <mergeCell ref="B70:E70"/>
    <mergeCell ref="B75:E75"/>
    <mergeCell ref="B1:E2"/>
    <mergeCell ref="B3:E3"/>
    <mergeCell ref="B5:E5"/>
    <mergeCell ref="B21:E21"/>
    <mergeCell ref="B36:E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8"/>
  <sheetViews>
    <sheetView zoomScaleNormal="100" workbookViewId="0"/>
  </sheetViews>
  <sheetFormatPr defaultColWidth="8.6328125" defaultRowHeight="14.5" x14ac:dyDescent="0.35"/>
  <cols>
    <col min="1" max="1" width="3" customWidth="1"/>
    <col min="2" max="2" width="26" customWidth="1"/>
    <col min="3" max="3" width="34" customWidth="1"/>
    <col min="4" max="4" width="58" customWidth="1"/>
  </cols>
  <sheetData>
    <row r="1" spans="2:4" ht="21.75" customHeight="1" x14ac:dyDescent="0.35">
      <c r="B1" s="4" t="s">
        <v>100</v>
      </c>
      <c r="C1" s="4"/>
      <c r="D1" s="4"/>
    </row>
    <row r="2" spans="2:4" ht="21.75" customHeight="1" x14ac:dyDescent="0.35">
      <c r="B2" s="4"/>
      <c r="C2" s="4"/>
      <c r="D2" s="4"/>
    </row>
    <row r="4" spans="2:4" ht="15" customHeight="1" x14ac:dyDescent="0.35">
      <c r="B4" s="5" t="s">
        <v>101</v>
      </c>
      <c r="C4" s="5" t="s">
        <v>3</v>
      </c>
      <c r="D4" s="5" t="s">
        <v>102</v>
      </c>
    </row>
    <row r="5" spans="2:4" ht="30" customHeight="1" x14ac:dyDescent="0.35">
      <c r="B5" s="14" t="s">
        <v>103</v>
      </c>
      <c r="C5" s="15" t="s">
        <v>13</v>
      </c>
      <c r="D5" s="16" t="s">
        <v>104</v>
      </c>
    </row>
    <row r="6" spans="2:4" ht="30" customHeight="1" x14ac:dyDescent="0.35">
      <c r="B6" s="14" t="s">
        <v>105</v>
      </c>
      <c r="C6" s="15" t="s">
        <v>106</v>
      </c>
      <c r="D6" s="16" t="s">
        <v>107</v>
      </c>
    </row>
    <row r="7" spans="2:4" ht="30" customHeight="1" x14ac:dyDescent="0.35">
      <c r="B7" s="14" t="s">
        <v>105</v>
      </c>
      <c r="C7" s="15" t="s">
        <v>21</v>
      </c>
      <c r="D7" s="16" t="s">
        <v>108</v>
      </c>
    </row>
    <row r="8" spans="2:4" ht="30" customHeight="1" x14ac:dyDescent="0.35">
      <c r="B8" s="14" t="s">
        <v>105</v>
      </c>
      <c r="C8" s="15" t="s">
        <v>28</v>
      </c>
      <c r="D8" s="16" t="s">
        <v>109</v>
      </c>
    </row>
    <row r="9" spans="2:4" ht="30" customHeight="1" x14ac:dyDescent="0.35">
      <c r="B9" s="14" t="s">
        <v>110</v>
      </c>
      <c r="C9" s="15" t="s">
        <v>111</v>
      </c>
      <c r="D9" s="16" t="s">
        <v>112</v>
      </c>
    </row>
    <row r="10" spans="2:4" ht="30" customHeight="1" x14ac:dyDescent="0.35">
      <c r="B10" s="14" t="s">
        <v>110</v>
      </c>
      <c r="C10" s="15" t="s">
        <v>113</v>
      </c>
      <c r="D10" s="16" t="s">
        <v>114</v>
      </c>
    </row>
    <row r="11" spans="2:4" ht="30" customHeight="1" x14ac:dyDescent="0.35">
      <c r="B11" s="14" t="s">
        <v>110</v>
      </c>
      <c r="C11" s="15" t="s">
        <v>115</v>
      </c>
      <c r="D11" s="16" t="s">
        <v>116</v>
      </c>
    </row>
    <row r="12" spans="2:4" ht="30" customHeight="1" x14ac:dyDescent="0.35">
      <c r="B12" s="14" t="s">
        <v>110</v>
      </c>
      <c r="C12" s="15" t="s">
        <v>117</v>
      </c>
      <c r="D12" s="16" t="s">
        <v>118</v>
      </c>
    </row>
    <row r="13" spans="2:4" ht="30" customHeight="1" x14ac:dyDescent="0.35">
      <c r="B13" s="14" t="s">
        <v>119</v>
      </c>
      <c r="C13" s="15" t="s">
        <v>54</v>
      </c>
      <c r="D13" s="16" t="s">
        <v>120</v>
      </c>
    </row>
    <row r="14" spans="2:4" ht="30" customHeight="1" x14ac:dyDescent="0.35">
      <c r="B14" s="14" t="s">
        <v>119</v>
      </c>
      <c r="C14" s="15" t="s">
        <v>121</v>
      </c>
      <c r="D14" s="16" t="s">
        <v>122</v>
      </c>
    </row>
    <row r="15" spans="2:4" ht="30" customHeight="1" x14ac:dyDescent="0.35">
      <c r="B15" s="14" t="s">
        <v>123</v>
      </c>
      <c r="C15" s="15" t="s">
        <v>124</v>
      </c>
      <c r="D15" s="16" t="s">
        <v>125</v>
      </c>
    </row>
    <row r="16" spans="2:4" ht="30" customHeight="1" x14ac:dyDescent="0.35">
      <c r="B16" s="14" t="s">
        <v>126</v>
      </c>
      <c r="C16" s="15" t="s">
        <v>127</v>
      </c>
      <c r="D16" s="16" t="s">
        <v>128</v>
      </c>
    </row>
    <row r="17" spans="2:4" ht="30" customHeight="1" x14ac:dyDescent="0.35">
      <c r="B17" s="14" t="s">
        <v>126</v>
      </c>
      <c r="C17" s="15" t="s">
        <v>129</v>
      </c>
      <c r="D17" s="16" t="s">
        <v>130</v>
      </c>
    </row>
    <row r="18" spans="2:4" ht="30" customHeight="1" x14ac:dyDescent="0.35">
      <c r="B18" s="14" t="s">
        <v>131</v>
      </c>
      <c r="C18" s="15" t="s">
        <v>132</v>
      </c>
      <c r="D18" s="16" t="s">
        <v>133</v>
      </c>
    </row>
  </sheetData>
  <mergeCells count="1">
    <mergeCell ref="B1: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Cost Calculator</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حنان بنت سعود بن ابراهيم بن عياد العصيمي</cp:lastModifiedBy>
  <cp:revision>0</cp:revision>
  <dcterms:created xsi:type="dcterms:W3CDTF">2026-07-27T18:50:10Z</dcterms:created>
  <dcterms:modified xsi:type="dcterms:W3CDTF">2026-07-27T20:07:38Z</dcterms:modified>
  <dc:language>en-US</dc:language>
</cp:coreProperties>
</file>